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FEB091D-BC2D-48BD-A283-0B862388B5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_DATA" sheetId="1" r:id="rId1"/>
    <sheet name="MONTHLY SALES TREND" sheetId="3" r:id="rId2"/>
    <sheet name="TOP 3 PRODUCTS SALES" sheetId="5" r:id="rId3"/>
    <sheet name="CATEGORY WISE TOTAL SALES" sheetId="6" r:id="rId4"/>
  </sheets>
  <definedNames>
    <definedName name="_xlnm._FilterDatabase" localSheetId="0" hidden="1">SALES_DATA!$A$2:$G$2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L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L7" i="1" l="1"/>
  <c r="L8" i="1" s="1"/>
</calcChain>
</file>

<file path=xl/sharedStrings.xml><?xml version="1.0" encoding="utf-8"?>
<sst xmlns="http://schemas.openxmlformats.org/spreadsheetml/2006/main" count="4538" uniqueCount="403">
  <si>
    <t>Date</t>
  </si>
  <si>
    <t>Product</t>
  </si>
  <si>
    <t>Category</t>
  </si>
  <si>
    <t>Quantity</t>
  </si>
  <si>
    <t>Price</t>
  </si>
  <si>
    <t>Total_Sales</t>
  </si>
  <si>
    <t>2024-09-22</t>
  </si>
  <si>
    <t>Marker</t>
  </si>
  <si>
    <t>Stationery</t>
  </si>
  <si>
    <t>2024-04-04</t>
  </si>
  <si>
    <t>Notebook</t>
  </si>
  <si>
    <t>2024-10-20</t>
  </si>
  <si>
    <t>Water Bottle</t>
  </si>
  <si>
    <t>Accessories</t>
  </si>
  <si>
    <t>2024-05-17</t>
  </si>
  <si>
    <t>Pencil</t>
  </si>
  <si>
    <t>2024-02-26</t>
  </si>
  <si>
    <t>2024-10-31</t>
  </si>
  <si>
    <t>Calculator</t>
  </si>
  <si>
    <t>Electronics</t>
  </si>
  <si>
    <t>2024-10-07</t>
  </si>
  <si>
    <t>2024-03-29</t>
  </si>
  <si>
    <t>Bag</t>
  </si>
  <si>
    <t>2024-05-01</t>
  </si>
  <si>
    <t>2024-06-26</t>
  </si>
  <si>
    <t>Mouse</t>
  </si>
  <si>
    <t>2024-01-08</t>
  </si>
  <si>
    <t>Stapler</t>
  </si>
  <si>
    <t>2024-02-27</t>
  </si>
  <si>
    <t>Keyboard</t>
  </si>
  <si>
    <t>2024-06-28</t>
  </si>
  <si>
    <t>2024-08-01</t>
  </si>
  <si>
    <t>2024-11-28</t>
  </si>
  <si>
    <t>2024-03-30</t>
  </si>
  <si>
    <t>Desk Lamp</t>
  </si>
  <si>
    <t>2024-08-16</t>
  </si>
  <si>
    <t>2024-08-13</t>
  </si>
  <si>
    <t>2024-04-01</t>
  </si>
  <si>
    <t>2024-06-20</t>
  </si>
  <si>
    <t>Eraser</t>
  </si>
  <si>
    <t>2024-09-24</t>
  </si>
  <si>
    <t>2024-02-10</t>
  </si>
  <si>
    <t>2024-12-14</t>
  </si>
  <si>
    <t>2024-05-08</t>
  </si>
  <si>
    <t>Pen</t>
  </si>
  <si>
    <t>2024-03-16</t>
  </si>
  <si>
    <t>2024-05-18</t>
  </si>
  <si>
    <t>2024-09-10</t>
  </si>
  <si>
    <t>2024-02-11</t>
  </si>
  <si>
    <t>2024-01-24</t>
  </si>
  <si>
    <t>2024-08-09</t>
  </si>
  <si>
    <t>2024-12-27</t>
  </si>
  <si>
    <t>2024-12-23</t>
  </si>
  <si>
    <t>2024-05-10</t>
  </si>
  <si>
    <t>2024-06-11</t>
  </si>
  <si>
    <t>2024-12-15</t>
  </si>
  <si>
    <t>2024-06-24</t>
  </si>
  <si>
    <t>2024-07-02</t>
  </si>
  <si>
    <t>2024-01-09</t>
  </si>
  <si>
    <t>2024-10-22</t>
  </si>
  <si>
    <t>2024-11-21</t>
  </si>
  <si>
    <t>2024-05-04</t>
  </si>
  <si>
    <t>2024-05-28</t>
  </si>
  <si>
    <t>2024-07-11</t>
  </si>
  <si>
    <t>2024-06-27</t>
  </si>
  <si>
    <t>2024-04-11</t>
  </si>
  <si>
    <t>2024-02-23</t>
  </si>
  <si>
    <t>2024-05-23</t>
  </si>
  <si>
    <t>2024-07-10</t>
  </si>
  <si>
    <t>2024-03-02</t>
  </si>
  <si>
    <t>2024-06-09</t>
  </si>
  <si>
    <t>2024-02-17</t>
  </si>
  <si>
    <t>2024-09-02</t>
  </si>
  <si>
    <t>2024-07-07</t>
  </si>
  <si>
    <t>2024-03-17</t>
  </si>
  <si>
    <t>2024-07-31</t>
  </si>
  <si>
    <t>2024-12-05</t>
  </si>
  <si>
    <t>2024-09-11</t>
  </si>
  <si>
    <t>2024-04-14</t>
  </si>
  <si>
    <t>2024-06-10</t>
  </si>
  <si>
    <t>2024-01-17</t>
  </si>
  <si>
    <t>2024-09-12</t>
  </si>
  <si>
    <t>2024-06-08</t>
  </si>
  <si>
    <t>2024-07-24</t>
  </si>
  <si>
    <t>2024-12-25</t>
  </si>
  <si>
    <t>2024-02-13</t>
  </si>
  <si>
    <t>2024-12-01</t>
  </si>
  <si>
    <t>2024-02-12</t>
  </si>
  <si>
    <t>2024-11-03</t>
  </si>
  <si>
    <t>2024-10-21</t>
  </si>
  <si>
    <t>2024-07-28</t>
  </si>
  <si>
    <t>2024-10-25</t>
  </si>
  <si>
    <t>2024-12-18</t>
  </si>
  <si>
    <t>2024-08-20</t>
  </si>
  <si>
    <t>2024-11-14</t>
  </si>
  <si>
    <t>2024-03-21</t>
  </si>
  <si>
    <t>2024-07-16</t>
  </si>
  <si>
    <t>2024-05-24</t>
  </si>
  <si>
    <t>2024-03-14</t>
  </si>
  <si>
    <t>2024-08-23</t>
  </si>
  <si>
    <t>2024-05-07</t>
  </si>
  <si>
    <t>2024-06-13</t>
  </si>
  <si>
    <t>2024-04-16</t>
  </si>
  <si>
    <t>2024-07-20</t>
  </si>
  <si>
    <t>2024-06-16</t>
  </si>
  <si>
    <t>2024-12-31</t>
  </si>
  <si>
    <t>2024-06-07</t>
  </si>
  <si>
    <t>2024-08-11</t>
  </si>
  <si>
    <t>2024-05-12</t>
  </si>
  <si>
    <t>2024-04-09</t>
  </si>
  <si>
    <t>2024-08-18</t>
  </si>
  <si>
    <t>2024-11-23</t>
  </si>
  <si>
    <t>2024-02-15</t>
  </si>
  <si>
    <t>2024-05-16</t>
  </si>
  <si>
    <t>2024-07-12</t>
  </si>
  <si>
    <t>2024-10-14</t>
  </si>
  <si>
    <t>2024-10-05</t>
  </si>
  <si>
    <t>2024-11-27</t>
  </si>
  <si>
    <t>2024-06-23</t>
  </si>
  <si>
    <t>2024-08-08</t>
  </si>
  <si>
    <t>2024-10-06</t>
  </si>
  <si>
    <t>2024-11-06</t>
  </si>
  <si>
    <t>2024-08-31</t>
  </si>
  <si>
    <t>2024-03-08</t>
  </si>
  <si>
    <t>2024-08-21</t>
  </si>
  <si>
    <t>2024-05-06</t>
  </si>
  <si>
    <t>2024-04-07</t>
  </si>
  <si>
    <t>2024-03-03</t>
  </si>
  <si>
    <t>2024-03-25</t>
  </si>
  <si>
    <t>2024-04-22</t>
  </si>
  <si>
    <t>2024-08-19</t>
  </si>
  <si>
    <t>2024-02-01</t>
  </si>
  <si>
    <t>2024-11-13</t>
  </si>
  <si>
    <t>2024-04-10</t>
  </si>
  <si>
    <t>2024-08-05</t>
  </si>
  <si>
    <t>2024-04-25</t>
  </si>
  <si>
    <t>2024-05-25</t>
  </si>
  <si>
    <t>2024-12-13</t>
  </si>
  <si>
    <t>2024-07-29</t>
  </si>
  <si>
    <t>2024-01-15</t>
  </si>
  <si>
    <t>2024-01-14</t>
  </si>
  <si>
    <t>2024-12-22</t>
  </si>
  <si>
    <t>2024-03-24</t>
  </si>
  <si>
    <t>2024-11-16</t>
  </si>
  <si>
    <t>2024-01-30</t>
  </si>
  <si>
    <t>2024-01-13</t>
  </si>
  <si>
    <t>2024-07-23</t>
  </si>
  <si>
    <t>2024-08-02</t>
  </si>
  <si>
    <t>2024-01-21</t>
  </si>
  <si>
    <t>2024-08-12</t>
  </si>
  <si>
    <t>2024-11-22</t>
  </si>
  <si>
    <t>2024-10-16</t>
  </si>
  <si>
    <t>2024-05-02</t>
  </si>
  <si>
    <t>2024-07-13</t>
  </si>
  <si>
    <t>2024-01-02</t>
  </si>
  <si>
    <t>2024-07-04</t>
  </si>
  <si>
    <t>2024-08-28</t>
  </si>
  <si>
    <t>2024-01-26</t>
  </si>
  <si>
    <t>2024-12-20</t>
  </si>
  <si>
    <t>2024-10-13</t>
  </si>
  <si>
    <t>2024-02-22</t>
  </si>
  <si>
    <t>2024-05-22</t>
  </si>
  <si>
    <t>2024-05-15</t>
  </si>
  <si>
    <t>2024-05-13</t>
  </si>
  <si>
    <t>2024-06-12</t>
  </si>
  <si>
    <t>2024-12-16</t>
  </si>
  <si>
    <t>2024-12-26</t>
  </si>
  <si>
    <t>2024-11-08</t>
  </si>
  <si>
    <t>2024-03-09</t>
  </si>
  <si>
    <t>2024-10-23</t>
  </si>
  <si>
    <t>2024-04-18</t>
  </si>
  <si>
    <t>2024-12-02</t>
  </si>
  <si>
    <t>2024-09-03</t>
  </si>
  <si>
    <t>2024-03-23</t>
  </si>
  <si>
    <t>2024-10-03</t>
  </si>
  <si>
    <t>2024-07-26</t>
  </si>
  <si>
    <t>2024-03-01</t>
  </si>
  <si>
    <t>2024-09-05</t>
  </si>
  <si>
    <t>2024-01-20</t>
  </si>
  <si>
    <t>2024-03-27</t>
  </si>
  <si>
    <t>2024-04-15</t>
  </si>
  <si>
    <t>2024-08-30</t>
  </si>
  <si>
    <t>2024-12-19</t>
  </si>
  <si>
    <t>2024-07-14</t>
  </si>
  <si>
    <t>2024-06-01</t>
  </si>
  <si>
    <t>2024-01-28</t>
  </si>
  <si>
    <t>2024-02-06</t>
  </si>
  <si>
    <t>2024-09-21</t>
  </si>
  <si>
    <t>2024-09-29</t>
  </si>
  <si>
    <t>2024-09-07</t>
  </si>
  <si>
    <t>2024-01-04</t>
  </si>
  <si>
    <t>2024-07-17</t>
  </si>
  <si>
    <t>2024-02-03</t>
  </si>
  <si>
    <t>2024-09-15</t>
  </si>
  <si>
    <t>2024-02-24</t>
  </si>
  <si>
    <t>2024-12-17</t>
  </si>
  <si>
    <t>2024-10-12</t>
  </si>
  <si>
    <t>2024-10-30</t>
  </si>
  <si>
    <t>2024-12-30</t>
  </si>
  <si>
    <t>2024-09-16</t>
  </si>
  <si>
    <t>2024-01-12</t>
  </si>
  <si>
    <t>2024-10-11</t>
  </si>
  <si>
    <t>2024-09-27</t>
  </si>
  <si>
    <t>2024-03-06</t>
  </si>
  <si>
    <t>2024-01-22</t>
  </si>
  <si>
    <t>2024-03-07</t>
  </si>
  <si>
    <t>2024-06-05</t>
  </si>
  <si>
    <t>2024-02-19</t>
  </si>
  <si>
    <t>2024-11-04</t>
  </si>
  <si>
    <t>2024-04-28</t>
  </si>
  <si>
    <t>2024-03-18</t>
  </si>
  <si>
    <t>2024-11-25</t>
  </si>
  <si>
    <t>2024-06-19</t>
  </si>
  <si>
    <t>2024-08-26</t>
  </si>
  <si>
    <t>2024-01-06</t>
  </si>
  <si>
    <t>2024-07-08</t>
  </si>
  <si>
    <t>2024-02-20</t>
  </si>
  <si>
    <t>2024-12-11</t>
  </si>
  <si>
    <t>2024-08-17</t>
  </si>
  <si>
    <t>2024-04-26</t>
  </si>
  <si>
    <t>2024-10-17</t>
  </si>
  <si>
    <t>2024-10-15</t>
  </si>
  <si>
    <t>2024-06-25</t>
  </si>
  <si>
    <t>2024-07-22</t>
  </si>
  <si>
    <t>2024-09-30</t>
  </si>
  <si>
    <t>2024-10-29</t>
  </si>
  <si>
    <t>2024-07-15</t>
  </si>
  <si>
    <t>2024-03-15</t>
  </si>
  <si>
    <t>2024-01-19</t>
  </si>
  <si>
    <t>2024-05-05</t>
  </si>
  <si>
    <t>2024-04-06</t>
  </si>
  <si>
    <t>2024-08-15</t>
  </si>
  <si>
    <t>2024-10-27</t>
  </si>
  <si>
    <t>2024-07-03</t>
  </si>
  <si>
    <t>2024-03-20</t>
  </si>
  <si>
    <t>2024-09-23</t>
  </si>
  <si>
    <t>2024-09-18</t>
  </si>
  <si>
    <t>2024-01-31</t>
  </si>
  <si>
    <t>2024-07-18</t>
  </si>
  <si>
    <t>2024-12-24</t>
  </si>
  <si>
    <t>2024-08-22</t>
  </si>
  <si>
    <t>2024-05-20</t>
  </si>
  <si>
    <t>2024-03-22</t>
  </si>
  <si>
    <t>2024-03-28</t>
  </si>
  <si>
    <t>2024-05-11</t>
  </si>
  <si>
    <t>2024-03-19</t>
  </si>
  <si>
    <t>2024-10-04</t>
  </si>
  <si>
    <t>2024-03-10</t>
  </si>
  <si>
    <t>2024-01-10</t>
  </si>
  <si>
    <t>2024-03-11</t>
  </si>
  <si>
    <t>2024-10-08</t>
  </si>
  <si>
    <t>2024-01-25</t>
  </si>
  <si>
    <t>2024-05-19</t>
  </si>
  <si>
    <t>2024-01-29</t>
  </si>
  <si>
    <t>2024-09-08</t>
  </si>
  <si>
    <t>2024-09-20</t>
  </si>
  <si>
    <t>2024-08-04</t>
  </si>
  <si>
    <t>2024-11-10</t>
  </si>
  <si>
    <t>2024-12-04</t>
  </si>
  <si>
    <t>2024-01-07</t>
  </si>
  <si>
    <t>2024-05-03</t>
  </si>
  <si>
    <t>2024-03-05</t>
  </si>
  <si>
    <t>2024-11-20</t>
  </si>
  <si>
    <t>2024-10-26</t>
  </si>
  <si>
    <t>2024-10-28</t>
  </si>
  <si>
    <t>2024-09-13</t>
  </si>
  <si>
    <t>2024-03-04</t>
  </si>
  <si>
    <t>2024-08-03</t>
  </si>
  <si>
    <t>2024-05-30</t>
  </si>
  <si>
    <t>2024-06-02</t>
  </si>
  <si>
    <t>2024-04-02</t>
  </si>
  <si>
    <t>2024-04-27</t>
  </si>
  <si>
    <t>2024-05-29</t>
  </si>
  <si>
    <t>2024-02-02</t>
  </si>
  <si>
    <t>2024-12-28</t>
  </si>
  <si>
    <t>2024-11-17</t>
  </si>
  <si>
    <t>2024-02-14</t>
  </si>
  <si>
    <t>2024-03-31</t>
  </si>
  <si>
    <t>2024-08-07</t>
  </si>
  <si>
    <t>2024-02-21</t>
  </si>
  <si>
    <t>2024-10-02</t>
  </si>
  <si>
    <t>2024-10-01</t>
  </si>
  <si>
    <t>2024-12-21</t>
  </si>
  <si>
    <t>2024-03-26</t>
  </si>
  <si>
    <t>2024-11-30</t>
  </si>
  <si>
    <t>2024-07-09</t>
  </si>
  <si>
    <t>2024-03-12</t>
  </si>
  <si>
    <t>2024-07-30</t>
  </si>
  <si>
    <t>2024-04-08</t>
  </si>
  <si>
    <t>2024-06-15</t>
  </si>
  <si>
    <t>2024-01-01</t>
  </si>
  <si>
    <t>2024-06-14</t>
  </si>
  <si>
    <t>2024-06-21</t>
  </si>
  <si>
    <t>2024-02-09</t>
  </si>
  <si>
    <t>2024-12-06</t>
  </si>
  <si>
    <t>2024-09-19</t>
  </si>
  <si>
    <t>2024-07-05</t>
  </si>
  <si>
    <t>2024-12-09</t>
  </si>
  <si>
    <t>2024-09-09</t>
  </si>
  <si>
    <t>2024-11-09</t>
  </si>
  <si>
    <t>2024-04-30</t>
  </si>
  <si>
    <t>2024-07-21</t>
  </si>
  <si>
    <t>2024-04-20</t>
  </si>
  <si>
    <t>2024-01-18</t>
  </si>
  <si>
    <t>2024-12-10</t>
  </si>
  <si>
    <t>2024-01-27</t>
  </si>
  <si>
    <t>2024-02-18</t>
  </si>
  <si>
    <t>2024-09-26</t>
  </si>
  <si>
    <t>2024-11-15</t>
  </si>
  <si>
    <t>2024-01-11</t>
  </si>
  <si>
    <t>2024-12-03</t>
  </si>
  <si>
    <t>2024-11-19</t>
  </si>
  <si>
    <t>2024-02-28</t>
  </si>
  <si>
    <t>2024-04-03</t>
  </si>
  <si>
    <t>2024-08-25</t>
  </si>
  <si>
    <t>2024-07-25</t>
  </si>
  <si>
    <t>2024-11-12</t>
  </si>
  <si>
    <t>2024-04-13</t>
  </si>
  <si>
    <t>2024-06-30</t>
  </si>
  <si>
    <t>2024-05-26</t>
  </si>
  <si>
    <t>2024-02-25</t>
  </si>
  <si>
    <t>2024-05-14</t>
  </si>
  <si>
    <t>2024-07-01</t>
  </si>
  <si>
    <t>2024-10-19</t>
  </si>
  <si>
    <t>2024-11-01</t>
  </si>
  <si>
    <t>2024-04-23</t>
  </si>
  <si>
    <t>2024-12-07</t>
  </si>
  <si>
    <t>2024-10-09</t>
  </si>
  <si>
    <t>2024-12-29</t>
  </si>
  <si>
    <t>2024-02-08</t>
  </si>
  <si>
    <t>2024-11-02</t>
  </si>
  <si>
    <t>2024-05-31</t>
  </si>
  <si>
    <t>2024-04-17</t>
  </si>
  <si>
    <t>2024-08-27</t>
  </si>
  <si>
    <t>2024-10-10</t>
  </si>
  <si>
    <t>2024-04-19</t>
  </si>
  <si>
    <t>2024-09-14</t>
  </si>
  <si>
    <t>2024-05-21</t>
  </si>
  <si>
    <t>2024-03-13</t>
  </si>
  <si>
    <t>2024-06-29</t>
  </si>
  <si>
    <t>2024-01-23</t>
  </si>
  <si>
    <t>2024-06-06</t>
  </si>
  <si>
    <t>2024-01-05</t>
  </si>
  <si>
    <t>2024-05-27</t>
  </si>
  <si>
    <t>2024-04-21</t>
  </si>
  <si>
    <t>2024-11-24</t>
  </si>
  <si>
    <t>2024-08-06</t>
  </si>
  <si>
    <t>2024-08-14</t>
  </si>
  <si>
    <t>2024-11-11</t>
  </si>
  <si>
    <t>2024-01-03</t>
  </si>
  <si>
    <t>2024-06-18</t>
  </si>
  <si>
    <t>2024-08-10</t>
  </si>
  <si>
    <t>2024-11-18</t>
  </si>
  <si>
    <t>2024-02-29</t>
  </si>
  <si>
    <t>2024-04-05</t>
  </si>
  <si>
    <t>2024-06-04</t>
  </si>
  <si>
    <t>2024-07-27</t>
  </si>
  <si>
    <t>2024-11-05</t>
  </si>
  <si>
    <t>2024-09-04</t>
  </si>
  <si>
    <t>2024-09-01</t>
  </si>
  <si>
    <t>2024-08-24</t>
  </si>
  <si>
    <t>2024-04-12</t>
  </si>
  <si>
    <t>2024-06-22</t>
  </si>
  <si>
    <t>2024-12-12</t>
  </si>
  <si>
    <t>2024-11-29</t>
  </si>
  <si>
    <t>2024-07-06</t>
  </si>
  <si>
    <t>2024-04-24</t>
  </si>
  <si>
    <t>2024-02-16</t>
  </si>
  <si>
    <t>2024-01-16</t>
  </si>
  <si>
    <t>2024-12-08</t>
  </si>
  <si>
    <t>2024-09-17</t>
  </si>
  <si>
    <t>2024-08-29</t>
  </si>
  <si>
    <t>2024-04-29</t>
  </si>
  <si>
    <t>2024-06-03</t>
  </si>
  <si>
    <t>2024-02-04</t>
  </si>
  <si>
    <t>2024-11-26</t>
  </si>
  <si>
    <t>2024-10-24</t>
  </si>
  <si>
    <t>2024-09-25</t>
  </si>
  <si>
    <t>2024-09-06</t>
  </si>
  <si>
    <t>2024-06-17</t>
  </si>
  <si>
    <t>2024-09-28</t>
  </si>
  <si>
    <t>2024-02-07</t>
  </si>
  <si>
    <t>2024-11-07</t>
  </si>
  <si>
    <t xml:space="preserve">TOTAL REVENUE </t>
  </si>
  <si>
    <t>AVG ORDER VALUE</t>
  </si>
  <si>
    <t>TOTAL SALES</t>
  </si>
  <si>
    <t>Row Labels</t>
  </si>
  <si>
    <t>Grand Total</t>
  </si>
  <si>
    <t>Sum of Total_Sales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</si>
  <si>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</si>
  <si>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</si>
  <si>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</si>
  <si>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</si>
  <si>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</si>
  <si>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</si>
  <si>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</si>
  <si>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</si>
  <si>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</si>
  <si>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</si>
  <si>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</si>
  <si>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</si>
  <si>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</si>
  <si>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 xml:space="preserve">RETAIL SALES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</si>
</sst>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7"/>
      <color rgb="FF000000"/>
      <name val="Calibri"/>
      <family val="2"/>
      <scheme val="minor"/>
    </font>
    <font>
      <sz val="26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u/>
      <sz val="26"/>
      <color theme="5" tint="-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164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164" formatCode="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[realistic_retail_sales_dataset.xlsx]MONTHLY SALES TREND!PivotTable6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lvl="1" algn="l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chemeClr val="tx1"/>
                </a:solidFill>
              </a:rPr>
              <a:t>MONTHLY SALES TREND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 lvl="1" algn="l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TREND'!$A$3:$A$15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'MONTHLY SALES TREND'!$B$3:$B$15</c:f>
              <c:numCache>
                <c:formatCode>[$₹-4009]\ #,##0.00</c:formatCode>
                <c:ptCount val="12"/>
                <c:pt idx="0">
                  <c:v>540199.71000000008</c:v>
                </c:pt>
                <c:pt idx="1">
                  <c:v>360112.13999999978</c:v>
                </c:pt>
                <c:pt idx="2">
                  <c:v>594493.42999999982</c:v>
                </c:pt>
                <c:pt idx="3">
                  <c:v>478303.78000000014</c:v>
                </c:pt>
                <c:pt idx="4">
                  <c:v>387887.84999999986</c:v>
                </c:pt>
                <c:pt idx="5">
                  <c:v>525983.08000000019</c:v>
                </c:pt>
                <c:pt idx="6">
                  <c:v>557518.5700000003</c:v>
                </c:pt>
                <c:pt idx="7">
                  <c:v>520277.15000000049</c:v>
                </c:pt>
                <c:pt idx="8">
                  <c:v>561289.37000000011</c:v>
                </c:pt>
                <c:pt idx="9">
                  <c:v>574694.70000000007</c:v>
                </c:pt>
                <c:pt idx="10">
                  <c:v>583005.40999999992</c:v>
                </c:pt>
                <c:pt idx="11">
                  <c:v>490686.72000000015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9-4FD1-A48F-3634F7DF4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565504"/>
        <c:axId val="332585664"/>
      </c:lineChart>
      <c:catAx>
        <c:axId val="3325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85664"/>
        <c:crosses val="autoZero"/>
        <c:auto val="1"/>
        <c:lblAlgn val="ctr"/>
        <c:lblOffset val="100"/>
        <c:noMultiLvlLbl val="0"/>
      </c:catAx>
      <c:valAx>
        <c:axId val="33258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65504"/>
        <c:crosses val="autoZero"/>
        <c:crossBetween val="between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[realistic_retail_sales_dataset.xlsx]TOP 3 PRODUCTS SALES!PivotTable7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/>
              <a:t>TOP 3 PRODUCTS</a:t>
            </a:r>
            <a:r>
              <a:rPr lang="en-US" sz="2000" b="1" u="sng" baseline="0"/>
              <a:t> SALES</a:t>
            </a:r>
            <a:endParaRPr lang="en-US" sz="2000" b="1" u="sng"/>
          </a:p>
        </c:rich>
      </c:tx>
      <c:layout>
        <c:manualLayout>
          <c:xMode val="edge"/>
          <c:yMode val="edge"/>
          <c:x val="0.3381311090788186"/>
          <c:y val="3.4305146098443859E-2"/>
        </c:manualLayout>
      </c:layout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3 PRODUCTS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3 PRODUCTS SALES'!$A$4:$A$7</c:f>
              <c:strCache>
                <c:ptCount val="3"/>
                <c:pt idx="0">
                  <c:v>Bag</c:v>
                </c:pt>
                <c:pt idx="1">
                  <c:v>Desk Lamp</c:v>
                </c:pt>
                <c:pt idx="2">
                  <c:v>Keyboard</c:v>
                </c:pt>
              </c:strCache>
            </c:strRef>
          </c:cat>
          <c:val>
            <c:numRef>
              <c:f>'TOP 3 PRODUCTS SALES'!$B$4:$B$7</c:f>
              <c:numCache>
                <c:formatCode>[$₹-4009]\ #,##0.00</c:formatCode>
                <c:ptCount val="3"/>
                <c:pt idx="0">
                  <c:v>1387594.9200000006</c:v>
                </c:pt>
                <c:pt idx="1">
                  <c:v>1069745.8400000003</c:v>
                </c:pt>
                <c:pt idx="2">
                  <c:v>1542694.68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9-4227-8985-39660F290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041792"/>
        <c:axId val="999069632"/>
      </c:barChart>
      <c:catAx>
        <c:axId val="99904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69632"/>
        <c:crosses val="autoZero"/>
        <c:auto val="1"/>
        <c:lblAlgn val="ctr"/>
        <c:lblOffset val="100"/>
        <c:noMultiLvlLbl val="0"/>
      </c:catAx>
      <c:valAx>
        <c:axId val="99906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4179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[realistic_retail_sales_dataset.xlsx]CATEGORY WISE TOTAL SALES!PivotTable2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chemeClr val="tx1"/>
                </a:solidFill>
              </a:rPr>
              <a:t>CATEGORY</a:t>
            </a:r>
            <a:r>
              <a:rPr lang="en-US" sz="2000" b="1" u="sng" baseline="0">
                <a:solidFill>
                  <a:schemeClr val="tx1"/>
                </a:solidFill>
              </a:rPr>
              <a:t> WISE TOTAL SALES</a:t>
            </a:r>
            <a:endParaRPr lang="en-US" sz="2000" b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386321178879189"/>
          <c:y val="2.4330900243309004E-2"/>
        </c:manualLayout>
      </c:layout>
      <c:overlay val="0"/>
      <c:spPr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WISE TOTAL SALES'!$B$2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4-4E86-B854-05D72778C3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4-4E86-B854-05D72778C3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B4-4E86-B854-05D72778C3BF}"/>
              </c:ext>
            </c:extLst>
          </c:dPt>
          <c:cat>
            <c:strRef>
              <c:f>'CATEGORY WISE TOTAL SALES'!$A$3:$A$6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Stationery</c:v>
                </c:pt>
              </c:strCache>
            </c:strRef>
          </c:cat>
          <c:val>
            <c:numRef>
              <c:f>'CATEGORY WISE TOTAL SALES'!$B$3:$B$6</c:f>
              <c:numCache>
                <c:formatCode>[$₹-4009]\ #,##0.00</c:formatCode>
                <c:ptCount val="3"/>
                <c:pt idx="0">
                  <c:v>1806989.8000000007</c:v>
                </c:pt>
                <c:pt idx="1">
                  <c:v>4045673.3899999964</c:v>
                </c:pt>
                <c:pt idx="2">
                  <c:v>321788.71999999974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B4-4E86-B854-05D72778C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9412</xdr:rowOff>
    </xdr:from>
    <xdr:to>
      <xdr:col>7</xdr:col>
      <xdr:colOff>8517</xdr:colOff>
      <xdr:row>2</xdr:row>
      <xdr:rowOff>2688</xdr:rowOff>
    </xdr:to>
    <xdr:sp macro="" textlink="">
      <xdr:nvSpPr>
        <xdr:cNvPr id="2" name="Rectangle: Top Corners Rounded 1">
          <a:extLst>
            <a:ext uri="{FF2B5EF4-FFF2-40B4-BE49-F238E27FC236}">
              <a16:creationId xmlns:a16="http://schemas.microsoft.com/office/drawing/2014/main" id="{0682AA6A-00B1-D81F-E50D-9434511BBDB7}"/>
            </a:ext>
          </a:extLst>
        </xdr:cNvPr>
        <xdr:cNvSpPr/>
      </xdr:nvSpPr>
      <xdr:spPr>
        <a:xfrm flipH="1">
          <a:off x="591671" y="430753"/>
          <a:ext cx="6992022" cy="459441"/>
        </a:xfrm>
        <a:prstGeom prst="round2Same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596153</xdr:colOff>
      <xdr:row>1</xdr:row>
      <xdr:rowOff>421342</xdr:rowOff>
    </xdr:from>
    <xdr:to>
      <xdr:col>14</xdr:col>
      <xdr:colOff>600636</xdr:colOff>
      <xdr:row>5</xdr:row>
      <xdr:rowOff>242047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679556-4927-BEE8-F8ED-8185873D3A22}"/>
            </a:ext>
          </a:extLst>
        </xdr:cNvPr>
        <xdr:cNvSpPr txBox="1"/>
      </xdr:nvSpPr>
      <xdr:spPr>
        <a:xfrm>
          <a:off x="9022977" y="842683"/>
          <a:ext cx="4217894" cy="109369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Calculate basic sales metrics like total revenue, average </a:t>
          </a:r>
          <a:r>
            <a:rPr lang="en-US" sz="1800">
              <a:solidFill>
                <a:schemeClr val="tx1"/>
              </a:solidFill>
              <a:effectLst/>
            </a:rPr>
            <a:t> </a:t>
          </a:r>
          <a:r>
            <a:rPr lang="en-US" sz="1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order value, and total sales.</a:t>
          </a:r>
          <a:r>
            <a:rPr lang="en-US" sz="1800">
              <a:solidFill>
                <a:schemeClr val="tx1"/>
              </a:solidFill>
              <a:effectLst/>
            </a:rPr>
            <a:t> </a:t>
          </a:r>
          <a:endParaRPr lang="en-US" sz="18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394447</xdr:colOff>
      <xdr:row>8</xdr:row>
      <xdr:rowOff>242047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25D87A-36E8-3D06-94CC-52CC5C7F415A}"/>
            </a:ext>
          </a:extLst>
        </xdr:cNvPr>
        <xdr:cNvSpPr txBox="1"/>
      </xdr:nvSpPr>
      <xdr:spPr>
        <a:xfrm>
          <a:off x="8821271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</xdr:rowOff>
    </xdr:from>
    <xdr:to>
      <xdr:col>13</xdr:col>
      <xdr:colOff>537882</xdr:colOff>
      <xdr:row>22</xdr:row>
      <xdr:rowOff>7621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AADF8D-DD19-4263-B5D9-F56BE5633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0</xdr:rowOff>
    </xdr:from>
    <xdr:to>
      <xdr:col>14</xdr:col>
      <xdr:colOff>581361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79F29B-38AF-4FFD-98BB-3220538CA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0</xdr:row>
      <xdr:rowOff>129540</xdr:rowOff>
    </xdr:from>
    <xdr:to>
      <xdr:col>12</xdr:col>
      <xdr:colOff>434340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DB14E-5B19-4AC3-ABE9-1CD225FA4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01.915564120369" createdVersion="8" refreshedVersion="8" minRefreshableVersion="3" recordCount="1500" xr:uid="{56105638-C860-4F07-9969-2E5F9A39603B}">
  <cacheSource type="worksheet">
    <worksheetSource name="Table1"/>
  </cacheSource>
  <cacheFields count="7">
    <cacheField name="Date" numFmtId="0">
      <sharedItems/>
    </cacheField>
    <cacheField name="Month" numFmtId="0">
      <sharedItems count="12">
        <s v="2024-09"/>
        <s v="2024-04"/>
        <s v="2024-10"/>
        <s v="2024-05"/>
        <s v="2024-02"/>
        <s v="2024-03"/>
        <s v="2024-06"/>
        <s v="2024-01"/>
        <s v="2024-08"/>
        <s v="2024-11"/>
        <s v="2024-12"/>
        <s v="2024-07"/>
      </sharedItems>
    </cacheField>
    <cacheField name="Product" numFmtId="0">
      <sharedItems count="12">
        <s v="Marker"/>
        <s v="Notebook"/>
        <s v="Water Bottle"/>
        <s v="Pencil"/>
        <s v="Calculator"/>
        <s v="Bag"/>
        <s v="Mouse"/>
        <s v="Stapler"/>
        <s v="Keyboard"/>
        <s v="Desk Lamp"/>
        <s v="Eraser"/>
        <s v="Pen"/>
      </sharedItems>
    </cacheField>
    <cacheField name="Category" numFmtId="0">
      <sharedItems count="3">
        <s v="Stationery"/>
        <s v="Accessories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Price" numFmtId="0">
      <sharedItems containsSemiMixedTypes="0" containsString="0" containsNumber="1" minValue="2.0299999999999998" maxValue="2450.7800000000002"/>
    </cacheField>
    <cacheField name="Total_Sales" numFmtId="164">
      <sharedItems containsSemiMixedTypes="0" containsString="0" containsNumber="1" minValue="2.06" maxValue="36761.700000000004"/>
    </cacheField>
  </cacheFields>
  <extLst>
    <ext xmlns:x14="http://schemas.microsoft.com/office/spreadsheetml/2009/9/main" uri="{725AE2AE-9491-48be-B2B4-4EB974FC3084}">
      <x14:pivotCacheDefinition pivotCacheId="3722145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2024-09-22"/>
    <x v="0"/>
    <x v="0"/>
    <x v="0"/>
    <n v="8"/>
    <n v="32.4"/>
    <n v="259.2"/>
  </r>
  <r>
    <s v="2024-04-04"/>
    <x v="1"/>
    <x v="1"/>
    <x v="0"/>
    <n v="6"/>
    <n v="62.99"/>
    <n v="377.94"/>
  </r>
  <r>
    <s v="2024-10-20"/>
    <x v="2"/>
    <x v="2"/>
    <x v="1"/>
    <n v="1"/>
    <n v="533.87"/>
    <n v="533.87"/>
  </r>
  <r>
    <s v="2024-05-17"/>
    <x v="3"/>
    <x v="3"/>
    <x v="0"/>
    <n v="12"/>
    <n v="5.36"/>
    <n v="64.320000000000007"/>
  </r>
  <r>
    <s v="2024-02-26"/>
    <x v="4"/>
    <x v="0"/>
    <x v="0"/>
    <n v="15"/>
    <n v="21.23"/>
    <n v="318.45"/>
  </r>
  <r>
    <s v="2024-10-31"/>
    <x v="2"/>
    <x v="4"/>
    <x v="2"/>
    <n v="8"/>
    <n v="935.38"/>
    <n v="7483.04"/>
  </r>
  <r>
    <s v="2024-10-07"/>
    <x v="2"/>
    <x v="1"/>
    <x v="0"/>
    <n v="14"/>
    <n v="112.09"/>
    <n v="1569.26"/>
  </r>
  <r>
    <s v="2024-03-29"/>
    <x v="5"/>
    <x v="5"/>
    <x v="1"/>
    <n v="7"/>
    <n v="1753.71"/>
    <n v="12275.970000000001"/>
  </r>
  <r>
    <s v="2024-05-01"/>
    <x v="3"/>
    <x v="1"/>
    <x v="0"/>
    <n v="9"/>
    <n v="112.16"/>
    <n v="1009.4399999999999"/>
  </r>
  <r>
    <s v="2024-06-26"/>
    <x v="6"/>
    <x v="6"/>
    <x v="2"/>
    <n v="11"/>
    <n v="1034.96"/>
    <n v="11384.560000000001"/>
  </r>
  <r>
    <s v="2024-01-08"/>
    <x v="7"/>
    <x v="7"/>
    <x v="0"/>
    <n v="3"/>
    <n v="208.1"/>
    <n v="624.29999999999995"/>
  </r>
  <r>
    <s v="2024-02-27"/>
    <x v="4"/>
    <x v="8"/>
    <x v="2"/>
    <n v="15"/>
    <n v="2186.9499999999998"/>
    <n v="32804.25"/>
  </r>
  <r>
    <s v="2024-06-28"/>
    <x v="6"/>
    <x v="0"/>
    <x v="0"/>
    <n v="12"/>
    <n v="38.85"/>
    <n v="466.20000000000005"/>
  </r>
  <r>
    <s v="2024-08-01"/>
    <x v="8"/>
    <x v="4"/>
    <x v="2"/>
    <n v="12"/>
    <n v="494.81"/>
    <n v="5937.72"/>
  </r>
  <r>
    <s v="2024-11-28"/>
    <x v="9"/>
    <x v="0"/>
    <x v="0"/>
    <n v="14"/>
    <n v="76.77"/>
    <n v="1074.78"/>
  </r>
  <r>
    <s v="2024-03-30"/>
    <x v="5"/>
    <x v="9"/>
    <x v="2"/>
    <n v="4"/>
    <n v="700.5"/>
    <n v="2802"/>
  </r>
  <r>
    <s v="2024-08-16"/>
    <x v="8"/>
    <x v="8"/>
    <x v="2"/>
    <n v="14"/>
    <n v="1735.63"/>
    <n v="24298.82"/>
  </r>
  <r>
    <s v="2024-08-13"/>
    <x v="8"/>
    <x v="7"/>
    <x v="0"/>
    <n v="5"/>
    <n v="170.11"/>
    <n v="850.55000000000007"/>
  </r>
  <r>
    <s v="2024-04-01"/>
    <x v="1"/>
    <x v="6"/>
    <x v="2"/>
    <n v="2"/>
    <n v="640.47"/>
    <n v="1280.94"/>
  </r>
  <r>
    <s v="2024-06-20"/>
    <x v="6"/>
    <x v="10"/>
    <x v="0"/>
    <n v="6"/>
    <n v="7.43"/>
    <n v="44.58"/>
  </r>
  <r>
    <s v="2024-09-24"/>
    <x v="0"/>
    <x v="7"/>
    <x v="0"/>
    <n v="8"/>
    <n v="196.3"/>
    <n v="1570.4"/>
  </r>
  <r>
    <s v="2024-04-04"/>
    <x v="1"/>
    <x v="5"/>
    <x v="1"/>
    <n v="8"/>
    <n v="1586.83"/>
    <n v="12694.64"/>
  </r>
  <r>
    <s v="2024-02-10"/>
    <x v="4"/>
    <x v="4"/>
    <x v="2"/>
    <n v="5"/>
    <n v="311.95"/>
    <n v="1559.75"/>
  </r>
  <r>
    <s v="2024-12-14"/>
    <x v="10"/>
    <x v="1"/>
    <x v="0"/>
    <n v="11"/>
    <n v="111.68"/>
    <n v="1228.48"/>
  </r>
  <r>
    <s v="2024-05-08"/>
    <x v="3"/>
    <x v="4"/>
    <x v="2"/>
    <n v="4"/>
    <n v="798.27"/>
    <n v="3193.08"/>
  </r>
  <r>
    <s v="2024-05-01"/>
    <x v="3"/>
    <x v="11"/>
    <x v="0"/>
    <n v="12"/>
    <n v="15.65"/>
    <n v="187.8"/>
  </r>
  <r>
    <s v="2024-03-16"/>
    <x v="5"/>
    <x v="11"/>
    <x v="0"/>
    <n v="1"/>
    <n v="14.87"/>
    <n v="14.87"/>
  </r>
  <r>
    <s v="2024-05-18"/>
    <x v="3"/>
    <x v="11"/>
    <x v="0"/>
    <n v="10"/>
    <n v="12.18"/>
    <n v="121.8"/>
  </r>
  <r>
    <s v="2024-09-10"/>
    <x v="0"/>
    <x v="1"/>
    <x v="0"/>
    <n v="5"/>
    <n v="77.239999999999995"/>
    <n v="386.2"/>
  </r>
  <r>
    <s v="2024-02-11"/>
    <x v="4"/>
    <x v="7"/>
    <x v="0"/>
    <n v="6"/>
    <n v="210.04"/>
    <n v="1260.24"/>
  </r>
  <r>
    <s v="2024-01-24"/>
    <x v="7"/>
    <x v="2"/>
    <x v="1"/>
    <n v="11"/>
    <n v="157.01"/>
    <n v="1727.11"/>
  </r>
  <r>
    <s v="2024-08-09"/>
    <x v="8"/>
    <x v="2"/>
    <x v="1"/>
    <n v="10"/>
    <n v="313.05"/>
    <n v="3130.5"/>
  </r>
  <r>
    <s v="2024-12-27"/>
    <x v="10"/>
    <x v="8"/>
    <x v="2"/>
    <n v="15"/>
    <n v="1885.81"/>
    <n v="28287.149999999998"/>
  </r>
  <r>
    <s v="2024-12-23"/>
    <x v="10"/>
    <x v="4"/>
    <x v="2"/>
    <n v="7"/>
    <n v="1319.15"/>
    <n v="9234.0500000000011"/>
  </r>
  <r>
    <s v="2024-05-10"/>
    <x v="3"/>
    <x v="5"/>
    <x v="1"/>
    <n v="9"/>
    <n v="589.19000000000005"/>
    <n v="5302.7100000000009"/>
  </r>
  <r>
    <s v="2024-06-11"/>
    <x v="6"/>
    <x v="1"/>
    <x v="0"/>
    <n v="15"/>
    <n v="67.260000000000005"/>
    <n v="1008.9000000000001"/>
  </r>
  <r>
    <s v="2024-12-15"/>
    <x v="10"/>
    <x v="7"/>
    <x v="0"/>
    <n v="12"/>
    <n v="119.14"/>
    <n v="1429.68"/>
  </r>
  <r>
    <s v="2024-06-24"/>
    <x v="6"/>
    <x v="4"/>
    <x v="2"/>
    <n v="15"/>
    <n v="324.14999999999998"/>
    <n v="4862.25"/>
  </r>
  <r>
    <s v="2024-07-02"/>
    <x v="11"/>
    <x v="7"/>
    <x v="0"/>
    <n v="3"/>
    <n v="100.22"/>
    <n v="300.65999999999997"/>
  </r>
  <r>
    <s v="2024-01-09"/>
    <x v="7"/>
    <x v="5"/>
    <x v="1"/>
    <n v="1"/>
    <n v="1243.07"/>
    <n v="1243.07"/>
  </r>
  <r>
    <s v="2024-10-22"/>
    <x v="2"/>
    <x v="6"/>
    <x v="2"/>
    <n v="6"/>
    <n v="782.36"/>
    <n v="4694.16"/>
  </r>
  <r>
    <s v="2024-11-21"/>
    <x v="9"/>
    <x v="3"/>
    <x v="0"/>
    <n v="8"/>
    <n v="6.87"/>
    <n v="54.96"/>
  </r>
  <r>
    <s v="2024-05-04"/>
    <x v="3"/>
    <x v="0"/>
    <x v="0"/>
    <n v="4"/>
    <n v="33.72"/>
    <n v="134.88"/>
  </r>
  <r>
    <s v="2024-05-01"/>
    <x v="3"/>
    <x v="6"/>
    <x v="2"/>
    <n v="5"/>
    <n v="413.2"/>
    <n v="2066"/>
  </r>
  <r>
    <s v="2024-05-28"/>
    <x v="3"/>
    <x v="7"/>
    <x v="0"/>
    <n v="9"/>
    <n v="195.66"/>
    <n v="1760.94"/>
  </r>
  <r>
    <s v="2024-04-04"/>
    <x v="1"/>
    <x v="7"/>
    <x v="0"/>
    <n v="11"/>
    <n v="244.38"/>
    <n v="2688.18"/>
  </r>
  <r>
    <s v="2024-07-11"/>
    <x v="11"/>
    <x v="1"/>
    <x v="0"/>
    <n v="10"/>
    <n v="82.67"/>
    <n v="826.7"/>
  </r>
  <r>
    <s v="2024-06-27"/>
    <x v="6"/>
    <x v="7"/>
    <x v="0"/>
    <n v="12"/>
    <n v="182.32"/>
    <n v="2187.84"/>
  </r>
  <r>
    <s v="2024-04-11"/>
    <x v="1"/>
    <x v="9"/>
    <x v="2"/>
    <n v="6"/>
    <n v="786.54"/>
    <n v="4719.24"/>
  </r>
  <r>
    <s v="2024-02-23"/>
    <x v="4"/>
    <x v="5"/>
    <x v="1"/>
    <n v="2"/>
    <n v="716.91"/>
    <n v="1433.82"/>
  </r>
  <r>
    <s v="2024-05-23"/>
    <x v="3"/>
    <x v="7"/>
    <x v="0"/>
    <n v="11"/>
    <n v="128.76"/>
    <n v="1416.36"/>
  </r>
  <r>
    <s v="2024-07-10"/>
    <x v="11"/>
    <x v="5"/>
    <x v="1"/>
    <n v="13"/>
    <n v="510.35"/>
    <n v="6634.55"/>
  </r>
  <r>
    <s v="2024-03-02"/>
    <x v="5"/>
    <x v="2"/>
    <x v="1"/>
    <n v="10"/>
    <n v="550.32000000000005"/>
    <n v="5503.2000000000007"/>
  </r>
  <r>
    <s v="2024-06-09"/>
    <x v="6"/>
    <x v="9"/>
    <x v="2"/>
    <n v="12"/>
    <n v="1093.3399999999999"/>
    <n v="13120.079999999998"/>
  </r>
  <r>
    <s v="2024-02-17"/>
    <x v="4"/>
    <x v="7"/>
    <x v="0"/>
    <n v="8"/>
    <n v="127.11"/>
    <n v="1016.88"/>
  </r>
  <r>
    <s v="2024-09-02"/>
    <x v="0"/>
    <x v="2"/>
    <x v="1"/>
    <n v="13"/>
    <n v="214.63"/>
    <n v="2790.19"/>
  </r>
  <r>
    <s v="2024-07-07"/>
    <x v="11"/>
    <x v="6"/>
    <x v="2"/>
    <n v="1"/>
    <n v="949.67"/>
    <n v="949.67"/>
  </r>
  <r>
    <s v="2024-03-17"/>
    <x v="5"/>
    <x v="11"/>
    <x v="0"/>
    <n v="7"/>
    <n v="8.73"/>
    <n v="61.11"/>
  </r>
  <r>
    <s v="2024-03-30"/>
    <x v="5"/>
    <x v="11"/>
    <x v="0"/>
    <n v="11"/>
    <n v="5.7"/>
    <n v="62.7"/>
  </r>
  <r>
    <s v="2024-07-31"/>
    <x v="11"/>
    <x v="11"/>
    <x v="0"/>
    <n v="14"/>
    <n v="12.13"/>
    <n v="169.82000000000002"/>
  </r>
  <r>
    <s v="2024-12-05"/>
    <x v="10"/>
    <x v="0"/>
    <x v="0"/>
    <n v="3"/>
    <n v="66.36"/>
    <n v="199.07999999999998"/>
  </r>
  <r>
    <s v="2024-09-10"/>
    <x v="0"/>
    <x v="9"/>
    <x v="2"/>
    <n v="14"/>
    <n v="1592.78"/>
    <n v="22298.92"/>
  </r>
  <r>
    <s v="2024-09-24"/>
    <x v="0"/>
    <x v="9"/>
    <x v="2"/>
    <n v="7"/>
    <n v="1500.25"/>
    <n v="10501.75"/>
  </r>
  <r>
    <s v="2024-09-11"/>
    <x v="0"/>
    <x v="7"/>
    <x v="0"/>
    <n v="6"/>
    <n v="136.16999999999999"/>
    <n v="817.02"/>
  </r>
  <r>
    <s v="2024-04-14"/>
    <x v="1"/>
    <x v="4"/>
    <x v="2"/>
    <n v="5"/>
    <n v="1291.01"/>
    <n v="6455.05"/>
  </r>
  <r>
    <s v="2024-06-10"/>
    <x v="6"/>
    <x v="5"/>
    <x v="1"/>
    <n v="9"/>
    <n v="502.11"/>
    <n v="4518.99"/>
  </r>
  <r>
    <s v="2024-01-17"/>
    <x v="7"/>
    <x v="8"/>
    <x v="2"/>
    <n v="13"/>
    <n v="1427.9"/>
    <n v="18562.7"/>
  </r>
  <r>
    <s v="2024-09-12"/>
    <x v="0"/>
    <x v="8"/>
    <x v="2"/>
    <n v="9"/>
    <n v="613.20000000000005"/>
    <n v="5518.8"/>
  </r>
  <r>
    <s v="2024-04-04"/>
    <x v="1"/>
    <x v="5"/>
    <x v="1"/>
    <n v="2"/>
    <n v="972.49"/>
    <n v="1944.98"/>
  </r>
  <r>
    <s v="2024-06-08"/>
    <x v="6"/>
    <x v="5"/>
    <x v="1"/>
    <n v="3"/>
    <n v="784.13"/>
    <n v="2352.39"/>
  </r>
  <r>
    <s v="2024-06-11"/>
    <x v="6"/>
    <x v="3"/>
    <x v="0"/>
    <n v="11"/>
    <n v="6.78"/>
    <n v="74.58"/>
  </r>
  <r>
    <s v="2024-07-24"/>
    <x v="11"/>
    <x v="4"/>
    <x v="2"/>
    <n v="1"/>
    <n v="491.45"/>
    <n v="491.45"/>
  </r>
  <r>
    <s v="2024-12-25"/>
    <x v="10"/>
    <x v="1"/>
    <x v="0"/>
    <n v="14"/>
    <n v="53.47"/>
    <n v="748.57999999999993"/>
  </r>
  <r>
    <s v="2024-02-13"/>
    <x v="4"/>
    <x v="8"/>
    <x v="2"/>
    <n v="7"/>
    <n v="2169.04"/>
    <n v="15183.279999999999"/>
  </r>
  <r>
    <s v="2024-12-01"/>
    <x v="10"/>
    <x v="9"/>
    <x v="2"/>
    <n v="6"/>
    <n v="681.9"/>
    <n v="4091.3999999999996"/>
  </r>
  <r>
    <s v="2024-02-12"/>
    <x v="4"/>
    <x v="10"/>
    <x v="0"/>
    <n v="6"/>
    <n v="4.1399999999999997"/>
    <n v="24.839999999999996"/>
  </r>
  <r>
    <s v="2024-11-03"/>
    <x v="9"/>
    <x v="3"/>
    <x v="0"/>
    <n v="11"/>
    <n v="5.0599999999999996"/>
    <n v="55.66"/>
  </r>
  <r>
    <s v="2024-10-21"/>
    <x v="2"/>
    <x v="4"/>
    <x v="2"/>
    <n v="13"/>
    <n v="1334.44"/>
    <n v="17347.72"/>
  </r>
  <r>
    <s v="2024-07-28"/>
    <x v="11"/>
    <x v="8"/>
    <x v="2"/>
    <n v="11"/>
    <n v="605.88"/>
    <n v="6664.68"/>
  </r>
  <r>
    <s v="2024-10-25"/>
    <x v="2"/>
    <x v="3"/>
    <x v="0"/>
    <n v="2"/>
    <n v="6.02"/>
    <n v="12.04"/>
  </r>
  <r>
    <s v="2024-12-18"/>
    <x v="10"/>
    <x v="9"/>
    <x v="2"/>
    <n v="6"/>
    <n v="768.39"/>
    <n v="4610.34"/>
  </r>
  <r>
    <s v="2024-08-20"/>
    <x v="8"/>
    <x v="3"/>
    <x v="0"/>
    <n v="1"/>
    <n v="9.61"/>
    <n v="9.61"/>
  </r>
  <r>
    <s v="2024-04-11"/>
    <x v="1"/>
    <x v="10"/>
    <x v="0"/>
    <n v="8"/>
    <n v="7.44"/>
    <n v="59.52"/>
  </r>
  <r>
    <s v="2024-11-14"/>
    <x v="9"/>
    <x v="6"/>
    <x v="2"/>
    <n v="11"/>
    <n v="811.35"/>
    <n v="8924.85"/>
  </r>
  <r>
    <s v="2024-03-21"/>
    <x v="5"/>
    <x v="7"/>
    <x v="0"/>
    <n v="4"/>
    <n v="212.31"/>
    <n v="849.24"/>
  </r>
  <r>
    <s v="2024-06-24"/>
    <x v="6"/>
    <x v="8"/>
    <x v="2"/>
    <n v="3"/>
    <n v="1345.42"/>
    <n v="4036.26"/>
  </r>
  <r>
    <s v="2024-07-16"/>
    <x v="11"/>
    <x v="8"/>
    <x v="2"/>
    <n v="14"/>
    <n v="765.29"/>
    <n v="10714.06"/>
  </r>
  <r>
    <s v="2024-08-20"/>
    <x v="8"/>
    <x v="8"/>
    <x v="2"/>
    <n v="8"/>
    <n v="690.69"/>
    <n v="5525.52"/>
  </r>
  <r>
    <s v="2024-05-24"/>
    <x v="3"/>
    <x v="5"/>
    <x v="1"/>
    <n v="8"/>
    <n v="782.02"/>
    <n v="6256.16"/>
  </r>
  <r>
    <s v="2024-03-02"/>
    <x v="5"/>
    <x v="1"/>
    <x v="0"/>
    <n v="11"/>
    <n v="90.95"/>
    <n v="1000.45"/>
  </r>
  <r>
    <s v="2024-03-14"/>
    <x v="5"/>
    <x v="8"/>
    <x v="2"/>
    <n v="15"/>
    <n v="2007.67"/>
    <n v="30115.050000000003"/>
  </r>
  <r>
    <s v="2024-08-23"/>
    <x v="8"/>
    <x v="9"/>
    <x v="2"/>
    <n v="10"/>
    <n v="1141.19"/>
    <n v="11411.900000000001"/>
  </r>
  <r>
    <s v="2024-05-07"/>
    <x v="3"/>
    <x v="11"/>
    <x v="0"/>
    <n v="2"/>
    <n v="7.43"/>
    <n v="14.86"/>
  </r>
  <r>
    <s v="2024-06-13"/>
    <x v="6"/>
    <x v="10"/>
    <x v="0"/>
    <n v="6"/>
    <n v="4.49"/>
    <n v="26.94"/>
  </r>
  <r>
    <s v="2024-07-11"/>
    <x v="11"/>
    <x v="0"/>
    <x v="0"/>
    <n v="14"/>
    <n v="64.75"/>
    <n v="906.5"/>
  </r>
  <r>
    <s v="2024-06-24"/>
    <x v="6"/>
    <x v="8"/>
    <x v="2"/>
    <n v="10"/>
    <n v="2276.64"/>
    <n v="22766.399999999998"/>
  </r>
  <r>
    <s v="2024-04-16"/>
    <x v="1"/>
    <x v="7"/>
    <x v="0"/>
    <n v="8"/>
    <n v="230.4"/>
    <n v="1843.2"/>
  </r>
  <r>
    <s v="2024-07-20"/>
    <x v="11"/>
    <x v="3"/>
    <x v="0"/>
    <n v="13"/>
    <n v="4"/>
    <n v="52"/>
  </r>
  <r>
    <s v="2024-06-16"/>
    <x v="6"/>
    <x v="6"/>
    <x v="2"/>
    <n v="5"/>
    <n v="833.77"/>
    <n v="4168.8500000000004"/>
  </r>
  <r>
    <s v="2024-12-31"/>
    <x v="10"/>
    <x v="10"/>
    <x v="0"/>
    <n v="14"/>
    <n v="6.11"/>
    <n v="85.54"/>
  </r>
  <r>
    <s v="2024-06-07"/>
    <x v="6"/>
    <x v="6"/>
    <x v="2"/>
    <n v="1"/>
    <n v="354.15"/>
    <n v="354.15"/>
  </r>
  <r>
    <s v="2024-08-11"/>
    <x v="8"/>
    <x v="5"/>
    <x v="1"/>
    <n v="14"/>
    <n v="1058.23"/>
    <n v="14815.220000000001"/>
  </r>
  <r>
    <s v="2024-05-12"/>
    <x v="3"/>
    <x v="3"/>
    <x v="0"/>
    <n v="15"/>
    <n v="7.49"/>
    <n v="112.35000000000001"/>
  </r>
  <r>
    <s v="2024-04-09"/>
    <x v="1"/>
    <x v="5"/>
    <x v="1"/>
    <n v="10"/>
    <n v="1732.77"/>
    <n v="17327.7"/>
  </r>
  <r>
    <s v="2024-08-18"/>
    <x v="8"/>
    <x v="3"/>
    <x v="0"/>
    <n v="13"/>
    <n v="6.83"/>
    <n v="88.79"/>
  </r>
  <r>
    <s v="2024-11-23"/>
    <x v="9"/>
    <x v="7"/>
    <x v="0"/>
    <n v="3"/>
    <n v="127.46"/>
    <n v="382.38"/>
  </r>
  <r>
    <s v="2024-02-15"/>
    <x v="4"/>
    <x v="0"/>
    <x v="0"/>
    <n v="5"/>
    <n v="44.01"/>
    <n v="220.04999999999998"/>
  </r>
  <r>
    <s v="2024-05-16"/>
    <x v="3"/>
    <x v="8"/>
    <x v="2"/>
    <n v="4"/>
    <n v="1665.22"/>
    <n v="6660.88"/>
  </r>
  <r>
    <s v="2024-11-23"/>
    <x v="9"/>
    <x v="7"/>
    <x v="0"/>
    <n v="7"/>
    <n v="111.06"/>
    <n v="777.42000000000007"/>
  </r>
  <r>
    <s v="2024-07-12"/>
    <x v="11"/>
    <x v="8"/>
    <x v="2"/>
    <n v="8"/>
    <n v="1761.98"/>
    <n v="14095.84"/>
  </r>
  <r>
    <s v="2024-10-14"/>
    <x v="2"/>
    <x v="3"/>
    <x v="0"/>
    <n v="9"/>
    <n v="7.46"/>
    <n v="67.14"/>
  </r>
  <r>
    <s v="2024-10-05"/>
    <x v="2"/>
    <x v="10"/>
    <x v="0"/>
    <n v="13"/>
    <n v="2.0299999999999998"/>
    <n v="26.389999999999997"/>
  </r>
  <r>
    <s v="2024-10-21"/>
    <x v="2"/>
    <x v="7"/>
    <x v="0"/>
    <n v="12"/>
    <n v="239.98"/>
    <n v="2879.7599999999998"/>
  </r>
  <r>
    <s v="2024-01-08"/>
    <x v="7"/>
    <x v="7"/>
    <x v="0"/>
    <n v="14"/>
    <n v="182.33"/>
    <n v="2552.6200000000003"/>
  </r>
  <r>
    <s v="2024-06-16"/>
    <x v="6"/>
    <x v="0"/>
    <x v="0"/>
    <n v="11"/>
    <n v="21.21"/>
    <n v="233.31"/>
  </r>
  <r>
    <s v="2024-11-27"/>
    <x v="9"/>
    <x v="0"/>
    <x v="0"/>
    <n v="9"/>
    <n v="34.369999999999997"/>
    <n v="309.33"/>
  </r>
  <r>
    <s v="2024-06-23"/>
    <x v="6"/>
    <x v="8"/>
    <x v="2"/>
    <n v="14"/>
    <n v="1643.3"/>
    <n v="23006.2"/>
  </r>
  <r>
    <s v="2024-10-22"/>
    <x v="2"/>
    <x v="7"/>
    <x v="0"/>
    <n v="2"/>
    <n v="182"/>
    <n v="364"/>
  </r>
  <r>
    <s v="2024-08-08"/>
    <x v="8"/>
    <x v="0"/>
    <x v="0"/>
    <n v="1"/>
    <n v="79.31"/>
    <n v="79.31"/>
  </r>
  <r>
    <s v="2024-10-06"/>
    <x v="2"/>
    <x v="0"/>
    <x v="0"/>
    <n v="4"/>
    <n v="59.57"/>
    <n v="238.28"/>
  </r>
  <r>
    <s v="2024-11-06"/>
    <x v="9"/>
    <x v="4"/>
    <x v="2"/>
    <n v="4"/>
    <n v="1007.26"/>
    <n v="4029.04"/>
  </r>
  <r>
    <s v="2024-08-31"/>
    <x v="8"/>
    <x v="4"/>
    <x v="2"/>
    <n v="2"/>
    <n v="658.38"/>
    <n v="1316.76"/>
  </r>
  <r>
    <s v="2024-03-08"/>
    <x v="5"/>
    <x v="4"/>
    <x v="2"/>
    <n v="12"/>
    <n v="1197.53"/>
    <n v="14370.36"/>
  </r>
  <r>
    <s v="2024-08-21"/>
    <x v="8"/>
    <x v="5"/>
    <x v="1"/>
    <n v="11"/>
    <n v="1406.64"/>
    <n v="15473.04"/>
  </r>
  <r>
    <s v="2024-02-15"/>
    <x v="4"/>
    <x v="10"/>
    <x v="0"/>
    <n v="11"/>
    <n v="4.5"/>
    <n v="49.5"/>
  </r>
  <r>
    <s v="2024-05-06"/>
    <x v="3"/>
    <x v="6"/>
    <x v="2"/>
    <n v="11"/>
    <n v="677.11"/>
    <n v="7448.21"/>
  </r>
  <r>
    <s v="2024-05-06"/>
    <x v="3"/>
    <x v="11"/>
    <x v="0"/>
    <n v="10"/>
    <n v="7.59"/>
    <n v="75.900000000000006"/>
  </r>
  <r>
    <s v="2024-06-28"/>
    <x v="6"/>
    <x v="4"/>
    <x v="2"/>
    <n v="8"/>
    <n v="622.16999999999996"/>
    <n v="4977.3599999999997"/>
  </r>
  <r>
    <s v="2024-06-28"/>
    <x v="6"/>
    <x v="11"/>
    <x v="0"/>
    <n v="4"/>
    <n v="12.16"/>
    <n v="48.64"/>
  </r>
  <r>
    <s v="2024-04-07"/>
    <x v="1"/>
    <x v="5"/>
    <x v="1"/>
    <n v="9"/>
    <n v="531.73"/>
    <n v="4785.57"/>
  </r>
  <r>
    <s v="2024-02-17"/>
    <x v="4"/>
    <x v="8"/>
    <x v="2"/>
    <n v="13"/>
    <n v="1656.89"/>
    <n v="21539.57"/>
  </r>
  <r>
    <s v="2024-07-07"/>
    <x v="11"/>
    <x v="2"/>
    <x v="1"/>
    <n v="13"/>
    <n v="521.28"/>
    <n v="6776.6399999999994"/>
  </r>
  <r>
    <s v="2024-12-15"/>
    <x v="10"/>
    <x v="2"/>
    <x v="1"/>
    <n v="15"/>
    <n v="414.34"/>
    <n v="6215.0999999999995"/>
  </r>
  <r>
    <s v="2024-12-27"/>
    <x v="10"/>
    <x v="6"/>
    <x v="2"/>
    <n v="14"/>
    <n v="522.13"/>
    <n v="7309.82"/>
  </r>
  <r>
    <s v="2024-11-03"/>
    <x v="9"/>
    <x v="1"/>
    <x v="0"/>
    <n v="1"/>
    <n v="106.61"/>
    <n v="106.61"/>
  </r>
  <r>
    <s v="2024-03-03"/>
    <x v="5"/>
    <x v="2"/>
    <x v="1"/>
    <n v="3"/>
    <n v="226.34"/>
    <n v="679.02"/>
  </r>
  <r>
    <s v="2024-03-25"/>
    <x v="5"/>
    <x v="1"/>
    <x v="0"/>
    <n v="1"/>
    <n v="88.42"/>
    <n v="88.42"/>
  </r>
  <r>
    <s v="2024-04-22"/>
    <x v="1"/>
    <x v="7"/>
    <x v="0"/>
    <n v="7"/>
    <n v="160.21"/>
    <n v="1121.47"/>
  </r>
  <r>
    <s v="2024-12-01"/>
    <x v="10"/>
    <x v="1"/>
    <x v="0"/>
    <n v="8"/>
    <n v="47.55"/>
    <n v="380.4"/>
  </r>
  <r>
    <s v="2024-08-19"/>
    <x v="8"/>
    <x v="0"/>
    <x v="0"/>
    <n v="2"/>
    <n v="44.5"/>
    <n v="89"/>
  </r>
  <r>
    <s v="2024-02-01"/>
    <x v="4"/>
    <x v="4"/>
    <x v="2"/>
    <n v="6"/>
    <n v="1314.52"/>
    <n v="7887.12"/>
  </r>
  <r>
    <s v="2024-11-13"/>
    <x v="9"/>
    <x v="4"/>
    <x v="2"/>
    <n v="10"/>
    <n v="1378.54"/>
    <n v="13785.4"/>
  </r>
  <r>
    <s v="2024-07-11"/>
    <x v="11"/>
    <x v="8"/>
    <x v="2"/>
    <n v="6"/>
    <n v="1399.16"/>
    <n v="8394.9600000000009"/>
  </r>
  <r>
    <s v="2024-02-27"/>
    <x v="4"/>
    <x v="4"/>
    <x v="2"/>
    <n v="11"/>
    <n v="772.77"/>
    <n v="8500.4699999999993"/>
  </r>
  <r>
    <s v="2024-06-09"/>
    <x v="6"/>
    <x v="1"/>
    <x v="0"/>
    <n v="5"/>
    <n v="89.46"/>
    <n v="447.29999999999995"/>
  </r>
  <r>
    <s v="2024-04-10"/>
    <x v="1"/>
    <x v="8"/>
    <x v="2"/>
    <n v="7"/>
    <n v="1071.75"/>
    <n v="7502.25"/>
  </r>
  <r>
    <s v="2024-08-05"/>
    <x v="8"/>
    <x v="5"/>
    <x v="1"/>
    <n v="13"/>
    <n v="1512.97"/>
    <n v="19668.61"/>
  </r>
  <r>
    <s v="2024-04-25"/>
    <x v="1"/>
    <x v="2"/>
    <x v="1"/>
    <n v="6"/>
    <n v="521.51"/>
    <n v="3129.06"/>
  </r>
  <r>
    <s v="2024-05-25"/>
    <x v="3"/>
    <x v="11"/>
    <x v="0"/>
    <n v="6"/>
    <n v="8.5299999999999994"/>
    <n v="51.179999999999993"/>
  </r>
  <r>
    <s v="2024-12-13"/>
    <x v="10"/>
    <x v="9"/>
    <x v="2"/>
    <n v="9"/>
    <n v="1029.8399999999999"/>
    <n v="9268.56"/>
  </r>
  <r>
    <s v="2024-03-03"/>
    <x v="5"/>
    <x v="0"/>
    <x v="0"/>
    <n v="7"/>
    <n v="22.8"/>
    <n v="159.6"/>
  </r>
  <r>
    <s v="2024-06-24"/>
    <x v="6"/>
    <x v="0"/>
    <x v="0"/>
    <n v="5"/>
    <n v="70.03"/>
    <n v="350.15"/>
  </r>
  <r>
    <s v="2024-07-29"/>
    <x v="11"/>
    <x v="2"/>
    <x v="1"/>
    <n v="11"/>
    <n v="558.51"/>
    <n v="6143.61"/>
  </r>
  <r>
    <s v="2024-05-04"/>
    <x v="3"/>
    <x v="9"/>
    <x v="2"/>
    <n v="9"/>
    <n v="944.69"/>
    <n v="8502.2100000000009"/>
  </r>
  <r>
    <s v="2024-01-15"/>
    <x v="7"/>
    <x v="1"/>
    <x v="0"/>
    <n v="15"/>
    <n v="53.28"/>
    <n v="799.2"/>
  </r>
  <r>
    <s v="2024-02-26"/>
    <x v="4"/>
    <x v="0"/>
    <x v="0"/>
    <n v="13"/>
    <n v="44.13"/>
    <n v="573.69000000000005"/>
  </r>
  <r>
    <s v="2024-01-17"/>
    <x v="7"/>
    <x v="4"/>
    <x v="2"/>
    <n v="12"/>
    <n v="1315.63"/>
    <n v="15787.560000000001"/>
  </r>
  <r>
    <s v="2024-11-21"/>
    <x v="9"/>
    <x v="3"/>
    <x v="0"/>
    <n v="3"/>
    <n v="3.84"/>
    <n v="11.52"/>
  </r>
  <r>
    <s v="2024-01-14"/>
    <x v="7"/>
    <x v="2"/>
    <x v="1"/>
    <n v="3"/>
    <n v="239.04"/>
    <n v="717.12"/>
  </r>
  <r>
    <s v="2024-12-22"/>
    <x v="10"/>
    <x v="10"/>
    <x v="0"/>
    <n v="6"/>
    <n v="5.42"/>
    <n v="32.519999999999996"/>
  </r>
  <r>
    <s v="2024-03-24"/>
    <x v="5"/>
    <x v="10"/>
    <x v="0"/>
    <n v="5"/>
    <n v="5.95"/>
    <n v="29.75"/>
  </r>
  <r>
    <s v="2024-11-16"/>
    <x v="9"/>
    <x v="11"/>
    <x v="0"/>
    <n v="5"/>
    <n v="12.59"/>
    <n v="62.95"/>
  </r>
  <r>
    <s v="2024-04-01"/>
    <x v="1"/>
    <x v="0"/>
    <x v="0"/>
    <n v="9"/>
    <n v="28.04"/>
    <n v="252.35999999999999"/>
  </r>
  <r>
    <s v="2024-06-08"/>
    <x v="6"/>
    <x v="2"/>
    <x v="1"/>
    <n v="13"/>
    <n v="161.53"/>
    <n v="2099.89"/>
  </r>
  <r>
    <s v="2024-01-30"/>
    <x v="7"/>
    <x v="5"/>
    <x v="1"/>
    <n v="9"/>
    <n v="1005.5"/>
    <n v="9049.5"/>
  </r>
  <r>
    <s v="2024-01-13"/>
    <x v="7"/>
    <x v="9"/>
    <x v="2"/>
    <n v="14"/>
    <n v="719.74"/>
    <n v="10076.36"/>
  </r>
  <r>
    <s v="2024-07-23"/>
    <x v="11"/>
    <x v="5"/>
    <x v="1"/>
    <n v="8"/>
    <n v="505.05"/>
    <n v="4040.4"/>
  </r>
  <r>
    <s v="2024-12-27"/>
    <x v="10"/>
    <x v="5"/>
    <x v="1"/>
    <n v="7"/>
    <n v="1481.85"/>
    <n v="10372.949999999999"/>
  </r>
  <r>
    <s v="2024-08-02"/>
    <x v="8"/>
    <x v="3"/>
    <x v="0"/>
    <n v="5"/>
    <n v="5.39"/>
    <n v="26.95"/>
  </r>
  <r>
    <s v="2024-01-14"/>
    <x v="7"/>
    <x v="11"/>
    <x v="0"/>
    <n v="3"/>
    <n v="8.49"/>
    <n v="25.47"/>
  </r>
  <r>
    <s v="2024-03-17"/>
    <x v="5"/>
    <x v="11"/>
    <x v="0"/>
    <n v="11"/>
    <n v="9.0500000000000007"/>
    <n v="99.550000000000011"/>
  </r>
  <r>
    <s v="2024-01-21"/>
    <x v="7"/>
    <x v="7"/>
    <x v="0"/>
    <n v="15"/>
    <n v="187.91"/>
    <n v="2818.65"/>
  </r>
  <r>
    <s v="2024-02-13"/>
    <x v="4"/>
    <x v="5"/>
    <x v="1"/>
    <n v="12"/>
    <n v="856.33"/>
    <n v="10275.960000000001"/>
  </r>
  <r>
    <s v="2024-12-01"/>
    <x v="10"/>
    <x v="1"/>
    <x v="0"/>
    <n v="15"/>
    <n v="49.44"/>
    <n v="741.59999999999991"/>
  </r>
  <r>
    <s v="2024-08-12"/>
    <x v="8"/>
    <x v="1"/>
    <x v="0"/>
    <n v="3"/>
    <n v="86.13"/>
    <n v="258.39"/>
  </r>
  <r>
    <s v="2024-11-22"/>
    <x v="9"/>
    <x v="6"/>
    <x v="2"/>
    <n v="4"/>
    <n v="742.65"/>
    <n v="2970.6"/>
  </r>
  <r>
    <s v="2024-10-16"/>
    <x v="2"/>
    <x v="7"/>
    <x v="0"/>
    <n v="5"/>
    <n v="190.29"/>
    <n v="951.44999999999993"/>
  </r>
  <r>
    <s v="2024-11-23"/>
    <x v="9"/>
    <x v="11"/>
    <x v="0"/>
    <n v="14"/>
    <n v="11.89"/>
    <n v="166.46"/>
  </r>
  <r>
    <s v="2024-05-02"/>
    <x v="3"/>
    <x v="9"/>
    <x v="2"/>
    <n v="5"/>
    <n v="989.62"/>
    <n v="4948.1000000000004"/>
  </r>
  <r>
    <s v="2024-06-08"/>
    <x v="6"/>
    <x v="7"/>
    <x v="0"/>
    <n v="12"/>
    <n v="190.23"/>
    <n v="2282.7599999999998"/>
  </r>
  <r>
    <s v="2024-07-28"/>
    <x v="11"/>
    <x v="2"/>
    <x v="1"/>
    <n v="7"/>
    <n v="529.84"/>
    <n v="3708.88"/>
  </r>
  <r>
    <s v="2024-02-12"/>
    <x v="4"/>
    <x v="8"/>
    <x v="2"/>
    <n v="13"/>
    <n v="574.45000000000005"/>
    <n v="7467.85"/>
  </r>
  <r>
    <s v="2024-07-13"/>
    <x v="11"/>
    <x v="9"/>
    <x v="2"/>
    <n v="13"/>
    <n v="1706.73"/>
    <n v="22187.49"/>
  </r>
  <r>
    <s v="2024-01-02"/>
    <x v="7"/>
    <x v="5"/>
    <x v="1"/>
    <n v="3"/>
    <n v="1888.61"/>
    <n v="5665.83"/>
  </r>
  <r>
    <s v="2024-07-04"/>
    <x v="11"/>
    <x v="7"/>
    <x v="0"/>
    <n v="5"/>
    <n v="96.96"/>
    <n v="484.79999999999995"/>
  </r>
  <r>
    <s v="2024-08-28"/>
    <x v="8"/>
    <x v="11"/>
    <x v="0"/>
    <n v="15"/>
    <n v="10.46"/>
    <n v="156.9"/>
  </r>
  <r>
    <s v="2024-01-26"/>
    <x v="7"/>
    <x v="8"/>
    <x v="2"/>
    <n v="5"/>
    <n v="540.37"/>
    <n v="2701.85"/>
  </r>
  <r>
    <s v="2024-12-20"/>
    <x v="10"/>
    <x v="4"/>
    <x v="2"/>
    <n v="9"/>
    <n v="919.83"/>
    <n v="8278.4700000000012"/>
  </r>
  <r>
    <s v="2024-04-01"/>
    <x v="1"/>
    <x v="3"/>
    <x v="0"/>
    <n v="10"/>
    <n v="6.04"/>
    <n v="60.4"/>
  </r>
  <r>
    <s v="2024-10-22"/>
    <x v="2"/>
    <x v="1"/>
    <x v="0"/>
    <n v="13"/>
    <n v="47.34"/>
    <n v="615.42000000000007"/>
  </r>
  <r>
    <s v="2024-10-13"/>
    <x v="2"/>
    <x v="6"/>
    <x v="2"/>
    <n v="10"/>
    <n v="772.59"/>
    <n v="7725.9000000000005"/>
  </r>
  <r>
    <s v="2024-05-04"/>
    <x v="3"/>
    <x v="4"/>
    <x v="2"/>
    <n v="4"/>
    <n v="1190.0999999999999"/>
    <n v="4760.3999999999996"/>
  </r>
  <r>
    <s v="2024-11-22"/>
    <x v="9"/>
    <x v="8"/>
    <x v="2"/>
    <n v="2"/>
    <n v="1333.48"/>
    <n v="2666.96"/>
  </r>
  <r>
    <s v="2024-02-22"/>
    <x v="4"/>
    <x v="11"/>
    <x v="0"/>
    <n v="10"/>
    <n v="17.37"/>
    <n v="173.70000000000002"/>
  </r>
  <r>
    <s v="2024-05-22"/>
    <x v="3"/>
    <x v="2"/>
    <x v="1"/>
    <n v="9"/>
    <n v="405.74"/>
    <n v="3651.66"/>
  </r>
  <r>
    <s v="2024-05-15"/>
    <x v="3"/>
    <x v="6"/>
    <x v="2"/>
    <n v="13"/>
    <n v="518.78"/>
    <n v="6744.1399999999994"/>
  </r>
  <r>
    <s v="2024-07-10"/>
    <x v="11"/>
    <x v="11"/>
    <x v="0"/>
    <n v="13"/>
    <n v="5.67"/>
    <n v="73.709999999999994"/>
  </r>
  <r>
    <s v="2024-05-13"/>
    <x v="3"/>
    <x v="9"/>
    <x v="2"/>
    <n v="5"/>
    <n v="1617.67"/>
    <n v="8088.35"/>
  </r>
  <r>
    <s v="2024-06-12"/>
    <x v="6"/>
    <x v="0"/>
    <x v="0"/>
    <n v="5"/>
    <n v="59.4"/>
    <n v="297"/>
  </r>
  <r>
    <s v="2024-12-16"/>
    <x v="10"/>
    <x v="9"/>
    <x v="2"/>
    <n v="4"/>
    <n v="1757.84"/>
    <n v="7031.36"/>
  </r>
  <r>
    <s v="2024-12-05"/>
    <x v="10"/>
    <x v="7"/>
    <x v="0"/>
    <n v="12"/>
    <n v="101.08"/>
    <n v="1212.96"/>
  </r>
  <r>
    <s v="2024-07-31"/>
    <x v="11"/>
    <x v="8"/>
    <x v="2"/>
    <n v="1"/>
    <n v="1192.51"/>
    <n v="1192.51"/>
  </r>
  <r>
    <s v="2024-12-26"/>
    <x v="10"/>
    <x v="3"/>
    <x v="0"/>
    <n v="9"/>
    <n v="5.15"/>
    <n v="46.35"/>
  </r>
  <r>
    <s v="2024-11-08"/>
    <x v="9"/>
    <x v="3"/>
    <x v="0"/>
    <n v="8"/>
    <n v="6.42"/>
    <n v="51.36"/>
  </r>
  <r>
    <s v="2024-03-09"/>
    <x v="5"/>
    <x v="9"/>
    <x v="2"/>
    <n v="13"/>
    <n v="945.25"/>
    <n v="12288.25"/>
  </r>
  <r>
    <s v="2024-06-26"/>
    <x v="6"/>
    <x v="8"/>
    <x v="2"/>
    <n v="2"/>
    <n v="1640.26"/>
    <n v="3280.52"/>
  </r>
  <r>
    <s v="2024-10-23"/>
    <x v="2"/>
    <x v="5"/>
    <x v="1"/>
    <n v="4"/>
    <n v="886.7"/>
    <n v="3546.8"/>
  </r>
  <r>
    <s v="2024-10-23"/>
    <x v="2"/>
    <x v="6"/>
    <x v="2"/>
    <n v="12"/>
    <n v="767.06"/>
    <n v="9204.7199999999993"/>
  </r>
  <r>
    <s v="2024-04-18"/>
    <x v="1"/>
    <x v="0"/>
    <x v="0"/>
    <n v="9"/>
    <n v="59"/>
    <n v="531"/>
  </r>
  <r>
    <s v="2024-12-02"/>
    <x v="10"/>
    <x v="7"/>
    <x v="0"/>
    <n v="9"/>
    <n v="121.24"/>
    <n v="1091.1599999999999"/>
  </r>
  <r>
    <s v="2024-09-03"/>
    <x v="0"/>
    <x v="5"/>
    <x v="1"/>
    <n v="1"/>
    <n v="1918.78"/>
    <n v="1918.78"/>
  </r>
  <r>
    <s v="2024-03-23"/>
    <x v="5"/>
    <x v="1"/>
    <x v="0"/>
    <n v="14"/>
    <n v="66.430000000000007"/>
    <n v="930.0200000000001"/>
  </r>
  <r>
    <s v="2024-08-31"/>
    <x v="8"/>
    <x v="8"/>
    <x v="2"/>
    <n v="1"/>
    <n v="1812.8"/>
    <n v="1812.8"/>
  </r>
  <r>
    <s v="2024-10-03"/>
    <x v="2"/>
    <x v="10"/>
    <x v="0"/>
    <n v="3"/>
    <n v="3.84"/>
    <n v="11.52"/>
  </r>
  <r>
    <s v="2024-07-26"/>
    <x v="11"/>
    <x v="1"/>
    <x v="0"/>
    <n v="15"/>
    <n v="40.119999999999997"/>
    <n v="601.79999999999995"/>
  </r>
  <r>
    <s v="2024-03-01"/>
    <x v="5"/>
    <x v="7"/>
    <x v="0"/>
    <n v="7"/>
    <n v="163.56"/>
    <n v="1144.92"/>
  </r>
  <r>
    <s v="2024-09-05"/>
    <x v="0"/>
    <x v="11"/>
    <x v="0"/>
    <n v="10"/>
    <n v="8.8000000000000007"/>
    <n v="88"/>
  </r>
  <r>
    <s v="2024-03-24"/>
    <x v="5"/>
    <x v="4"/>
    <x v="2"/>
    <n v="2"/>
    <n v="706.67"/>
    <n v="1413.34"/>
  </r>
  <r>
    <s v="2024-07-29"/>
    <x v="11"/>
    <x v="5"/>
    <x v="1"/>
    <n v="5"/>
    <n v="1014.63"/>
    <n v="5073.1499999999996"/>
  </r>
  <r>
    <s v="2024-01-20"/>
    <x v="7"/>
    <x v="11"/>
    <x v="0"/>
    <n v="6"/>
    <n v="7.69"/>
    <n v="46.14"/>
  </r>
  <r>
    <s v="2024-03-27"/>
    <x v="5"/>
    <x v="6"/>
    <x v="2"/>
    <n v="15"/>
    <n v="795.43"/>
    <n v="11931.449999999999"/>
  </r>
  <r>
    <s v="2024-04-15"/>
    <x v="1"/>
    <x v="11"/>
    <x v="0"/>
    <n v="10"/>
    <n v="12.04"/>
    <n v="120.39999999999999"/>
  </r>
  <r>
    <s v="2024-08-05"/>
    <x v="8"/>
    <x v="11"/>
    <x v="0"/>
    <n v="13"/>
    <n v="13.8"/>
    <n v="179.4"/>
  </r>
  <r>
    <s v="2024-08-30"/>
    <x v="8"/>
    <x v="1"/>
    <x v="0"/>
    <n v="14"/>
    <n v="95.65"/>
    <n v="1339.1000000000001"/>
  </r>
  <r>
    <s v="2024-02-11"/>
    <x v="4"/>
    <x v="9"/>
    <x v="2"/>
    <n v="2"/>
    <n v="1287.92"/>
    <n v="2575.84"/>
  </r>
  <r>
    <s v="2024-12-19"/>
    <x v="10"/>
    <x v="1"/>
    <x v="0"/>
    <n v="9"/>
    <n v="112.53"/>
    <n v="1012.77"/>
  </r>
  <r>
    <s v="2024-05-28"/>
    <x v="3"/>
    <x v="8"/>
    <x v="2"/>
    <n v="15"/>
    <n v="1342.18"/>
    <n v="20132.7"/>
  </r>
  <r>
    <s v="2024-07-14"/>
    <x v="11"/>
    <x v="4"/>
    <x v="2"/>
    <n v="2"/>
    <n v="401.9"/>
    <n v="803.8"/>
  </r>
  <r>
    <s v="2024-06-01"/>
    <x v="6"/>
    <x v="9"/>
    <x v="2"/>
    <n v="15"/>
    <n v="1666.23"/>
    <n v="24993.45"/>
  </r>
  <r>
    <s v="2024-01-28"/>
    <x v="7"/>
    <x v="5"/>
    <x v="1"/>
    <n v="14"/>
    <n v="1883.46"/>
    <n v="26368.440000000002"/>
  </r>
  <r>
    <s v="2024-02-06"/>
    <x v="4"/>
    <x v="11"/>
    <x v="0"/>
    <n v="15"/>
    <n v="11.16"/>
    <n v="167.4"/>
  </r>
  <r>
    <s v="2024-10-05"/>
    <x v="2"/>
    <x v="2"/>
    <x v="1"/>
    <n v="10"/>
    <n v="204.62"/>
    <n v="2046.2"/>
  </r>
  <r>
    <s v="2024-12-27"/>
    <x v="10"/>
    <x v="10"/>
    <x v="0"/>
    <n v="5"/>
    <n v="5.75"/>
    <n v="28.75"/>
  </r>
  <r>
    <s v="2024-08-11"/>
    <x v="8"/>
    <x v="11"/>
    <x v="0"/>
    <n v="8"/>
    <n v="14.04"/>
    <n v="112.32"/>
  </r>
  <r>
    <s v="2024-06-07"/>
    <x v="6"/>
    <x v="2"/>
    <x v="1"/>
    <n v="15"/>
    <n v="466.26"/>
    <n v="6993.9"/>
  </r>
  <r>
    <s v="2024-09-21"/>
    <x v="0"/>
    <x v="11"/>
    <x v="0"/>
    <n v="14"/>
    <n v="14.75"/>
    <n v="206.5"/>
  </r>
  <r>
    <s v="2024-09-29"/>
    <x v="0"/>
    <x v="7"/>
    <x v="0"/>
    <n v="10"/>
    <n v="111.27"/>
    <n v="1112.7"/>
  </r>
  <r>
    <s v="2024-10-23"/>
    <x v="2"/>
    <x v="6"/>
    <x v="2"/>
    <n v="13"/>
    <n v="801.09"/>
    <n v="10414.17"/>
  </r>
  <r>
    <s v="2024-09-07"/>
    <x v="0"/>
    <x v="5"/>
    <x v="1"/>
    <n v="1"/>
    <n v="1540.6"/>
    <n v="1540.6"/>
  </r>
  <r>
    <s v="2024-02-06"/>
    <x v="4"/>
    <x v="9"/>
    <x v="2"/>
    <n v="4"/>
    <n v="512.5"/>
    <n v="2050"/>
  </r>
  <r>
    <s v="2024-10-13"/>
    <x v="2"/>
    <x v="9"/>
    <x v="2"/>
    <n v="12"/>
    <n v="485.03"/>
    <n v="5820.36"/>
  </r>
  <r>
    <s v="2024-01-04"/>
    <x v="7"/>
    <x v="0"/>
    <x v="0"/>
    <n v="1"/>
    <n v="72.209999999999994"/>
    <n v="72.209999999999994"/>
  </r>
  <r>
    <s v="2024-07-17"/>
    <x v="11"/>
    <x v="6"/>
    <x v="2"/>
    <n v="13"/>
    <n v="973.15"/>
    <n v="12650.949999999999"/>
  </r>
  <r>
    <s v="2024-02-03"/>
    <x v="4"/>
    <x v="4"/>
    <x v="2"/>
    <n v="13"/>
    <n v="1189.3399999999999"/>
    <n v="15461.419999999998"/>
  </r>
  <r>
    <s v="2024-09-15"/>
    <x v="0"/>
    <x v="4"/>
    <x v="2"/>
    <n v="14"/>
    <n v="722.06"/>
    <n v="10108.84"/>
  </r>
  <r>
    <s v="2024-06-11"/>
    <x v="6"/>
    <x v="0"/>
    <x v="0"/>
    <n v="10"/>
    <n v="42.05"/>
    <n v="420.5"/>
  </r>
  <r>
    <s v="2024-02-24"/>
    <x v="4"/>
    <x v="10"/>
    <x v="0"/>
    <n v="1"/>
    <n v="6.92"/>
    <n v="6.92"/>
  </r>
  <r>
    <s v="2024-12-17"/>
    <x v="10"/>
    <x v="8"/>
    <x v="2"/>
    <n v="13"/>
    <n v="878.32"/>
    <n v="11418.16"/>
  </r>
  <r>
    <s v="2024-01-26"/>
    <x v="7"/>
    <x v="11"/>
    <x v="0"/>
    <n v="10"/>
    <n v="18.239999999999998"/>
    <n v="182.39999999999998"/>
  </r>
  <r>
    <s v="2024-07-04"/>
    <x v="11"/>
    <x v="7"/>
    <x v="0"/>
    <n v="14"/>
    <n v="98.47"/>
    <n v="1378.58"/>
  </r>
  <r>
    <s v="2024-01-15"/>
    <x v="7"/>
    <x v="5"/>
    <x v="1"/>
    <n v="13"/>
    <n v="1223.75"/>
    <n v="15908.75"/>
  </r>
  <r>
    <s v="2024-10-12"/>
    <x v="2"/>
    <x v="10"/>
    <x v="0"/>
    <n v="4"/>
    <n v="4.8099999999999996"/>
    <n v="19.239999999999998"/>
  </r>
  <r>
    <s v="2024-10-30"/>
    <x v="2"/>
    <x v="4"/>
    <x v="2"/>
    <n v="12"/>
    <n v="599.29"/>
    <n v="7191.48"/>
  </r>
  <r>
    <s v="2024-12-30"/>
    <x v="10"/>
    <x v="9"/>
    <x v="2"/>
    <n v="12"/>
    <n v="670.42"/>
    <n v="8045.0399999999991"/>
  </r>
  <r>
    <s v="2024-09-16"/>
    <x v="0"/>
    <x v="0"/>
    <x v="0"/>
    <n v="10"/>
    <n v="72.44"/>
    <n v="724.4"/>
  </r>
  <r>
    <s v="2024-03-14"/>
    <x v="5"/>
    <x v="1"/>
    <x v="0"/>
    <n v="6"/>
    <n v="40.5"/>
    <n v="243"/>
  </r>
  <r>
    <s v="2024-01-12"/>
    <x v="7"/>
    <x v="7"/>
    <x v="0"/>
    <n v="9"/>
    <n v="136.22"/>
    <n v="1225.98"/>
  </r>
  <r>
    <s v="2024-10-11"/>
    <x v="2"/>
    <x v="5"/>
    <x v="1"/>
    <n v="4"/>
    <n v="1923.26"/>
    <n v="7693.04"/>
  </r>
  <r>
    <s v="2024-09-27"/>
    <x v="0"/>
    <x v="5"/>
    <x v="1"/>
    <n v="15"/>
    <n v="1167.3599999999999"/>
    <n v="17510.399999999998"/>
  </r>
  <r>
    <s v="2024-03-06"/>
    <x v="5"/>
    <x v="9"/>
    <x v="2"/>
    <n v="2"/>
    <n v="1339.6"/>
    <n v="2679.2"/>
  </r>
  <r>
    <s v="2024-01-22"/>
    <x v="7"/>
    <x v="9"/>
    <x v="2"/>
    <n v="10"/>
    <n v="850.11"/>
    <n v="8501.1"/>
  </r>
  <r>
    <s v="2024-03-07"/>
    <x v="5"/>
    <x v="3"/>
    <x v="0"/>
    <n v="15"/>
    <n v="4.37"/>
    <n v="65.55"/>
  </r>
  <r>
    <s v="2024-06-10"/>
    <x v="6"/>
    <x v="4"/>
    <x v="2"/>
    <n v="15"/>
    <n v="1376.73"/>
    <n v="20650.95"/>
  </r>
  <r>
    <s v="2024-02-15"/>
    <x v="4"/>
    <x v="6"/>
    <x v="2"/>
    <n v="15"/>
    <n v="730.02"/>
    <n v="10950.3"/>
  </r>
  <r>
    <s v="2024-06-05"/>
    <x v="6"/>
    <x v="11"/>
    <x v="0"/>
    <n v="5"/>
    <n v="18.36"/>
    <n v="91.8"/>
  </r>
  <r>
    <s v="2024-08-23"/>
    <x v="8"/>
    <x v="9"/>
    <x v="2"/>
    <n v="12"/>
    <n v="447.83"/>
    <n v="5373.96"/>
  </r>
  <r>
    <s v="2024-10-11"/>
    <x v="2"/>
    <x v="11"/>
    <x v="0"/>
    <n v="12"/>
    <n v="16.73"/>
    <n v="200.76"/>
  </r>
  <r>
    <s v="2024-10-05"/>
    <x v="2"/>
    <x v="2"/>
    <x v="1"/>
    <n v="15"/>
    <n v="537.4"/>
    <n v="8061"/>
  </r>
  <r>
    <s v="2024-11-23"/>
    <x v="9"/>
    <x v="2"/>
    <x v="1"/>
    <n v="15"/>
    <n v="494.91"/>
    <n v="7423.6500000000005"/>
  </r>
  <r>
    <s v="2024-02-19"/>
    <x v="4"/>
    <x v="5"/>
    <x v="1"/>
    <n v="4"/>
    <n v="529.76"/>
    <n v="2119.04"/>
  </r>
  <r>
    <s v="2024-11-04"/>
    <x v="9"/>
    <x v="7"/>
    <x v="0"/>
    <n v="12"/>
    <n v="167.82"/>
    <n v="2013.84"/>
  </r>
  <r>
    <s v="2024-04-28"/>
    <x v="1"/>
    <x v="3"/>
    <x v="0"/>
    <n v="2"/>
    <n v="5.45"/>
    <n v="10.9"/>
  </r>
  <r>
    <s v="2024-01-17"/>
    <x v="7"/>
    <x v="7"/>
    <x v="0"/>
    <n v="2"/>
    <n v="232.52"/>
    <n v="465.04"/>
  </r>
  <r>
    <s v="2024-07-04"/>
    <x v="11"/>
    <x v="8"/>
    <x v="2"/>
    <n v="10"/>
    <n v="2288.0500000000002"/>
    <n v="22880.5"/>
  </r>
  <r>
    <s v="2024-07-02"/>
    <x v="11"/>
    <x v="3"/>
    <x v="0"/>
    <n v="10"/>
    <n v="5.29"/>
    <n v="52.9"/>
  </r>
  <r>
    <s v="2024-03-18"/>
    <x v="5"/>
    <x v="4"/>
    <x v="2"/>
    <n v="5"/>
    <n v="1402.17"/>
    <n v="7010.85"/>
  </r>
  <r>
    <s v="2024-11-25"/>
    <x v="9"/>
    <x v="9"/>
    <x v="2"/>
    <n v="5"/>
    <n v="1264.23"/>
    <n v="6321.15"/>
  </r>
  <r>
    <s v="2024-06-19"/>
    <x v="6"/>
    <x v="10"/>
    <x v="0"/>
    <n v="4"/>
    <n v="6.18"/>
    <n v="24.72"/>
  </r>
  <r>
    <s v="2024-08-26"/>
    <x v="8"/>
    <x v="7"/>
    <x v="0"/>
    <n v="2"/>
    <n v="178.52"/>
    <n v="357.04"/>
  </r>
  <r>
    <s v="2024-08-11"/>
    <x v="8"/>
    <x v="0"/>
    <x v="0"/>
    <n v="7"/>
    <n v="34.69"/>
    <n v="242.82999999999998"/>
  </r>
  <r>
    <s v="2024-01-06"/>
    <x v="7"/>
    <x v="2"/>
    <x v="1"/>
    <n v="9"/>
    <n v="280.75"/>
    <n v="2526.75"/>
  </r>
  <r>
    <s v="2024-07-08"/>
    <x v="11"/>
    <x v="6"/>
    <x v="2"/>
    <n v="6"/>
    <n v="762.67"/>
    <n v="4576.0199999999995"/>
  </r>
  <r>
    <s v="2024-08-26"/>
    <x v="8"/>
    <x v="6"/>
    <x v="2"/>
    <n v="7"/>
    <n v="714.9"/>
    <n v="5004.3"/>
  </r>
  <r>
    <s v="2024-04-15"/>
    <x v="1"/>
    <x v="9"/>
    <x v="2"/>
    <n v="5"/>
    <n v="1277.17"/>
    <n v="6385.85"/>
  </r>
  <r>
    <s v="2024-02-20"/>
    <x v="4"/>
    <x v="8"/>
    <x v="2"/>
    <n v="6"/>
    <n v="1867.72"/>
    <n v="11206.32"/>
  </r>
  <r>
    <s v="2024-12-11"/>
    <x v="10"/>
    <x v="2"/>
    <x v="1"/>
    <n v="7"/>
    <n v="388.72"/>
    <n v="2721.04"/>
  </r>
  <r>
    <s v="2024-06-28"/>
    <x v="6"/>
    <x v="0"/>
    <x v="0"/>
    <n v="14"/>
    <n v="62.47"/>
    <n v="874.57999999999993"/>
  </r>
  <r>
    <s v="2024-08-17"/>
    <x v="8"/>
    <x v="1"/>
    <x v="0"/>
    <n v="5"/>
    <n v="71.040000000000006"/>
    <n v="355.20000000000005"/>
  </r>
  <r>
    <s v="2024-04-26"/>
    <x v="1"/>
    <x v="9"/>
    <x v="2"/>
    <n v="9"/>
    <n v="527.75"/>
    <n v="4749.75"/>
  </r>
  <r>
    <s v="2024-03-24"/>
    <x v="5"/>
    <x v="11"/>
    <x v="0"/>
    <n v="4"/>
    <n v="19.55"/>
    <n v="78.2"/>
  </r>
  <r>
    <s v="2024-03-09"/>
    <x v="5"/>
    <x v="1"/>
    <x v="0"/>
    <n v="6"/>
    <n v="54.49"/>
    <n v="326.94"/>
  </r>
  <r>
    <s v="2024-10-17"/>
    <x v="2"/>
    <x v="0"/>
    <x v="0"/>
    <n v="15"/>
    <n v="53.01"/>
    <n v="795.15"/>
  </r>
  <r>
    <s v="2024-05-06"/>
    <x v="3"/>
    <x v="5"/>
    <x v="1"/>
    <n v="7"/>
    <n v="1081.58"/>
    <n v="7571.0599999999995"/>
  </r>
  <r>
    <s v="2024-10-15"/>
    <x v="2"/>
    <x v="4"/>
    <x v="2"/>
    <n v="9"/>
    <n v="559.58000000000004"/>
    <n v="5036.22"/>
  </r>
  <r>
    <s v="2024-01-15"/>
    <x v="7"/>
    <x v="11"/>
    <x v="0"/>
    <n v="5"/>
    <n v="19.11"/>
    <n v="95.55"/>
  </r>
  <r>
    <s v="2024-06-25"/>
    <x v="6"/>
    <x v="8"/>
    <x v="2"/>
    <n v="4"/>
    <n v="2246.08"/>
    <n v="8984.32"/>
  </r>
  <r>
    <s v="2024-07-22"/>
    <x v="11"/>
    <x v="1"/>
    <x v="0"/>
    <n v="2"/>
    <n v="108.16"/>
    <n v="216.32"/>
  </r>
  <r>
    <s v="2024-08-17"/>
    <x v="8"/>
    <x v="4"/>
    <x v="2"/>
    <n v="14"/>
    <n v="626.62"/>
    <n v="8772.68"/>
  </r>
  <r>
    <s v="2024-07-11"/>
    <x v="11"/>
    <x v="6"/>
    <x v="2"/>
    <n v="6"/>
    <n v="638.84"/>
    <n v="3833.04"/>
  </r>
  <r>
    <s v="2024-05-22"/>
    <x v="3"/>
    <x v="0"/>
    <x v="0"/>
    <n v="10"/>
    <n v="52.81"/>
    <n v="528.1"/>
  </r>
  <r>
    <s v="2024-05-18"/>
    <x v="3"/>
    <x v="10"/>
    <x v="0"/>
    <n v="10"/>
    <n v="5.85"/>
    <n v="58.5"/>
  </r>
  <r>
    <s v="2024-05-02"/>
    <x v="3"/>
    <x v="1"/>
    <x v="0"/>
    <n v="8"/>
    <n v="90.85"/>
    <n v="726.8"/>
  </r>
  <r>
    <s v="2024-04-10"/>
    <x v="1"/>
    <x v="5"/>
    <x v="1"/>
    <n v="15"/>
    <n v="768.54"/>
    <n v="11528.099999999999"/>
  </r>
  <r>
    <s v="2024-10-15"/>
    <x v="2"/>
    <x v="7"/>
    <x v="0"/>
    <n v="2"/>
    <n v="239.01"/>
    <n v="478.02"/>
  </r>
  <r>
    <s v="2024-09-30"/>
    <x v="0"/>
    <x v="7"/>
    <x v="0"/>
    <n v="8"/>
    <n v="137.19"/>
    <n v="1097.52"/>
  </r>
  <r>
    <s v="2024-05-02"/>
    <x v="3"/>
    <x v="7"/>
    <x v="0"/>
    <n v="12"/>
    <n v="234.26"/>
    <n v="2811.12"/>
  </r>
  <r>
    <s v="2024-11-03"/>
    <x v="9"/>
    <x v="7"/>
    <x v="0"/>
    <n v="8"/>
    <n v="238.49"/>
    <n v="1907.92"/>
  </r>
  <r>
    <s v="2024-12-18"/>
    <x v="10"/>
    <x v="8"/>
    <x v="2"/>
    <n v="8"/>
    <n v="1928.09"/>
    <n v="15424.72"/>
  </r>
  <r>
    <s v="2024-10-29"/>
    <x v="2"/>
    <x v="3"/>
    <x v="0"/>
    <n v="7"/>
    <n v="8.3800000000000008"/>
    <n v="58.660000000000004"/>
  </r>
  <r>
    <s v="2024-05-10"/>
    <x v="3"/>
    <x v="10"/>
    <x v="0"/>
    <n v="15"/>
    <n v="5.53"/>
    <n v="82.95"/>
  </r>
  <r>
    <s v="2024-02-10"/>
    <x v="4"/>
    <x v="3"/>
    <x v="0"/>
    <n v="11"/>
    <n v="8.8000000000000007"/>
    <n v="96.800000000000011"/>
  </r>
  <r>
    <s v="2024-07-15"/>
    <x v="11"/>
    <x v="7"/>
    <x v="0"/>
    <n v="5"/>
    <n v="159.22"/>
    <n v="796.1"/>
  </r>
  <r>
    <s v="2024-03-15"/>
    <x v="5"/>
    <x v="1"/>
    <x v="0"/>
    <n v="3"/>
    <n v="107.43"/>
    <n v="322.29000000000002"/>
  </r>
  <r>
    <s v="2024-01-22"/>
    <x v="7"/>
    <x v="1"/>
    <x v="0"/>
    <n v="10"/>
    <n v="97.39"/>
    <n v="973.9"/>
  </r>
  <r>
    <s v="2024-09-27"/>
    <x v="0"/>
    <x v="6"/>
    <x v="2"/>
    <n v="15"/>
    <n v="481.69"/>
    <n v="7225.35"/>
  </r>
  <r>
    <s v="2024-05-08"/>
    <x v="3"/>
    <x v="6"/>
    <x v="2"/>
    <n v="15"/>
    <n v="687.99"/>
    <n v="10319.85"/>
  </r>
  <r>
    <s v="2024-01-19"/>
    <x v="7"/>
    <x v="9"/>
    <x v="2"/>
    <n v="6"/>
    <n v="988.05"/>
    <n v="5928.2999999999993"/>
  </r>
  <r>
    <s v="2024-09-10"/>
    <x v="0"/>
    <x v="2"/>
    <x v="1"/>
    <n v="6"/>
    <n v="396.44"/>
    <n v="2378.64"/>
  </r>
  <r>
    <s v="2024-04-18"/>
    <x v="1"/>
    <x v="2"/>
    <x v="1"/>
    <n v="1"/>
    <n v="348.27"/>
    <n v="348.27"/>
  </r>
  <r>
    <s v="2024-05-05"/>
    <x v="3"/>
    <x v="0"/>
    <x v="0"/>
    <n v="4"/>
    <n v="54.03"/>
    <n v="216.12"/>
  </r>
  <r>
    <s v="2024-04-06"/>
    <x v="1"/>
    <x v="6"/>
    <x v="2"/>
    <n v="9"/>
    <n v="907.49"/>
    <n v="8167.41"/>
  </r>
  <r>
    <s v="2024-08-15"/>
    <x v="8"/>
    <x v="10"/>
    <x v="0"/>
    <n v="12"/>
    <n v="7.22"/>
    <n v="86.64"/>
  </r>
  <r>
    <s v="2024-10-27"/>
    <x v="2"/>
    <x v="4"/>
    <x v="2"/>
    <n v="8"/>
    <n v="503.42"/>
    <n v="4027.36"/>
  </r>
  <r>
    <s v="2024-10-23"/>
    <x v="2"/>
    <x v="10"/>
    <x v="0"/>
    <n v="7"/>
    <n v="3.35"/>
    <n v="23.45"/>
  </r>
  <r>
    <s v="2024-10-25"/>
    <x v="2"/>
    <x v="2"/>
    <x v="1"/>
    <n v="13"/>
    <n v="274.29000000000002"/>
    <n v="3565.7700000000004"/>
  </r>
  <r>
    <s v="2024-06-20"/>
    <x v="6"/>
    <x v="11"/>
    <x v="0"/>
    <n v="1"/>
    <n v="9.5299999999999994"/>
    <n v="9.5299999999999994"/>
  </r>
  <r>
    <s v="2024-06-25"/>
    <x v="6"/>
    <x v="11"/>
    <x v="0"/>
    <n v="15"/>
    <n v="6.09"/>
    <n v="91.35"/>
  </r>
  <r>
    <s v="2024-07-03"/>
    <x v="11"/>
    <x v="7"/>
    <x v="0"/>
    <n v="8"/>
    <n v="225.47"/>
    <n v="1803.76"/>
  </r>
  <r>
    <s v="2024-05-06"/>
    <x v="3"/>
    <x v="8"/>
    <x v="2"/>
    <n v="4"/>
    <n v="2041.66"/>
    <n v="8166.64"/>
  </r>
  <r>
    <s v="2024-03-20"/>
    <x v="5"/>
    <x v="8"/>
    <x v="2"/>
    <n v="3"/>
    <n v="2102.27"/>
    <n v="6306.8099999999995"/>
  </r>
  <r>
    <s v="2024-09-23"/>
    <x v="0"/>
    <x v="2"/>
    <x v="1"/>
    <n v="13"/>
    <n v="460.72"/>
    <n v="5989.3600000000006"/>
  </r>
  <r>
    <s v="2024-10-30"/>
    <x v="2"/>
    <x v="2"/>
    <x v="1"/>
    <n v="4"/>
    <n v="237.22"/>
    <n v="948.88"/>
  </r>
  <r>
    <s v="2024-09-18"/>
    <x v="0"/>
    <x v="10"/>
    <x v="0"/>
    <n v="5"/>
    <n v="6.83"/>
    <n v="34.15"/>
  </r>
  <r>
    <s v="2024-01-31"/>
    <x v="7"/>
    <x v="1"/>
    <x v="0"/>
    <n v="11"/>
    <n v="117.11"/>
    <n v="1288.21"/>
  </r>
  <r>
    <s v="2024-07-18"/>
    <x v="11"/>
    <x v="4"/>
    <x v="2"/>
    <n v="11"/>
    <n v="873.51"/>
    <n v="9608.61"/>
  </r>
  <r>
    <s v="2024-10-12"/>
    <x v="2"/>
    <x v="6"/>
    <x v="2"/>
    <n v="7"/>
    <n v="211.4"/>
    <n v="1479.8"/>
  </r>
  <r>
    <s v="2024-03-01"/>
    <x v="5"/>
    <x v="7"/>
    <x v="0"/>
    <n v="8"/>
    <n v="138.65"/>
    <n v="1109.2"/>
  </r>
  <r>
    <s v="2024-02-27"/>
    <x v="4"/>
    <x v="7"/>
    <x v="0"/>
    <n v="8"/>
    <n v="227.98"/>
    <n v="1823.84"/>
  </r>
  <r>
    <s v="2024-12-26"/>
    <x v="10"/>
    <x v="7"/>
    <x v="0"/>
    <n v="5"/>
    <n v="187.06"/>
    <n v="935.3"/>
  </r>
  <r>
    <s v="2024-10-12"/>
    <x v="2"/>
    <x v="10"/>
    <x v="0"/>
    <n v="1"/>
    <n v="5.94"/>
    <n v="5.94"/>
  </r>
  <r>
    <s v="2024-08-31"/>
    <x v="8"/>
    <x v="6"/>
    <x v="2"/>
    <n v="11"/>
    <n v="376.88"/>
    <n v="4145.68"/>
  </r>
  <r>
    <s v="2024-09-27"/>
    <x v="0"/>
    <x v="0"/>
    <x v="0"/>
    <n v="8"/>
    <n v="48.17"/>
    <n v="385.36"/>
  </r>
  <r>
    <s v="2024-12-24"/>
    <x v="10"/>
    <x v="1"/>
    <x v="0"/>
    <n v="4"/>
    <n v="70.12"/>
    <n v="280.48"/>
  </r>
  <r>
    <s v="2024-12-01"/>
    <x v="10"/>
    <x v="0"/>
    <x v="0"/>
    <n v="3"/>
    <n v="23.7"/>
    <n v="71.099999999999994"/>
  </r>
  <r>
    <s v="2024-10-31"/>
    <x v="2"/>
    <x v="5"/>
    <x v="1"/>
    <n v="14"/>
    <n v="1256.8699999999999"/>
    <n v="17596.18"/>
  </r>
  <r>
    <s v="2024-10-13"/>
    <x v="2"/>
    <x v="8"/>
    <x v="2"/>
    <n v="9"/>
    <n v="794.04"/>
    <n v="7146.36"/>
  </r>
  <r>
    <s v="2024-08-22"/>
    <x v="8"/>
    <x v="8"/>
    <x v="2"/>
    <n v="1"/>
    <n v="1800.7"/>
    <n v="1800.7"/>
  </r>
  <r>
    <s v="2024-05-20"/>
    <x v="3"/>
    <x v="10"/>
    <x v="0"/>
    <n v="15"/>
    <n v="6.88"/>
    <n v="103.2"/>
  </r>
  <r>
    <s v="2024-01-06"/>
    <x v="7"/>
    <x v="5"/>
    <x v="1"/>
    <n v="10"/>
    <n v="1815.44"/>
    <n v="18154.400000000001"/>
  </r>
  <r>
    <s v="2024-03-22"/>
    <x v="5"/>
    <x v="11"/>
    <x v="0"/>
    <n v="13"/>
    <n v="14.53"/>
    <n v="188.89"/>
  </r>
  <r>
    <s v="2024-01-14"/>
    <x v="7"/>
    <x v="3"/>
    <x v="0"/>
    <n v="13"/>
    <n v="7.04"/>
    <n v="91.52"/>
  </r>
  <r>
    <s v="2024-01-06"/>
    <x v="7"/>
    <x v="10"/>
    <x v="0"/>
    <n v="6"/>
    <n v="5.86"/>
    <n v="35.160000000000004"/>
  </r>
  <r>
    <s v="2024-03-28"/>
    <x v="5"/>
    <x v="9"/>
    <x v="2"/>
    <n v="15"/>
    <n v="1339.21"/>
    <n v="20088.150000000001"/>
  </r>
  <r>
    <s v="2024-05-11"/>
    <x v="3"/>
    <x v="2"/>
    <x v="1"/>
    <n v="14"/>
    <n v="502.8"/>
    <n v="7039.2"/>
  </r>
  <r>
    <s v="2024-03-19"/>
    <x v="5"/>
    <x v="9"/>
    <x v="2"/>
    <n v="1"/>
    <n v="1601.07"/>
    <n v="1601.07"/>
  </r>
  <r>
    <s v="2024-10-04"/>
    <x v="2"/>
    <x v="11"/>
    <x v="0"/>
    <n v="9"/>
    <n v="6.77"/>
    <n v="60.929999999999993"/>
  </r>
  <r>
    <s v="2024-01-21"/>
    <x v="7"/>
    <x v="10"/>
    <x v="0"/>
    <n v="8"/>
    <n v="4.38"/>
    <n v="35.04"/>
  </r>
  <r>
    <s v="2024-03-10"/>
    <x v="5"/>
    <x v="0"/>
    <x v="0"/>
    <n v="5"/>
    <n v="30.39"/>
    <n v="151.94999999999999"/>
  </r>
  <r>
    <s v="2024-08-28"/>
    <x v="8"/>
    <x v="8"/>
    <x v="2"/>
    <n v="14"/>
    <n v="1052.01"/>
    <n v="14728.14"/>
  </r>
  <r>
    <s v="2024-01-10"/>
    <x v="7"/>
    <x v="8"/>
    <x v="2"/>
    <n v="13"/>
    <n v="1240.54"/>
    <n v="16127.02"/>
  </r>
  <r>
    <s v="2024-09-29"/>
    <x v="0"/>
    <x v="2"/>
    <x v="1"/>
    <n v="7"/>
    <n v="154.41"/>
    <n v="1080.8699999999999"/>
  </r>
  <r>
    <s v="2024-06-23"/>
    <x v="6"/>
    <x v="7"/>
    <x v="0"/>
    <n v="2"/>
    <n v="118.71"/>
    <n v="237.42"/>
  </r>
  <r>
    <s v="2024-03-11"/>
    <x v="5"/>
    <x v="7"/>
    <x v="0"/>
    <n v="7"/>
    <n v="93.04"/>
    <n v="651.28000000000009"/>
  </r>
  <r>
    <s v="2024-10-08"/>
    <x v="2"/>
    <x v="3"/>
    <x v="0"/>
    <n v="13"/>
    <n v="7.95"/>
    <n v="103.35000000000001"/>
  </r>
  <r>
    <s v="2024-03-03"/>
    <x v="5"/>
    <x v="2"/>
    <x v="1"/>
    <n v="11"/>
    <n v="174.04"/>
    <n v="1914.4399999999998"/>
  </r>
  <r>
    <s v="2024-01-24"/>
    <x v="7"/>
    <x v="7"/>
    <x v="0"/>
    <n v="1"/>
    <n v="134.97999999999999"/>
    <n v="134.97999999999999"/>
  </r>
  <r>
    <s v="2024-01-25"/>
    <x v="7"/>
    <x v="11"/>
    <x v="0"/>
    <n v="6"/>
    <n v="17.43"/>
    <n v="104.58"/>
  </r>
  <r>
    <s v="2024-04-01"/>
    <x v="1"/>
    <x v="0"/>
    <x v="0"/>
    <n v="11"/>
    <n v="44.52"/>
    <n v="489.72"/>
  </r>
  <r>
    <s v="2024-05-05"/>
    <x v="3"/>
    <x v="1"/>
    <x v="0"/>
    <n v="14"/>
    <n v="70.87"/>
    <n v="992.18000000000006"/>
  </r>
  <r>
    <s v="2024-05-19"/>
    <x v="3"/>
    <x v="7"/>
    <x v="0"/>
    <n v="12"/>
    <n v="119.97"/>
    <n v="1439.6399999999999"/>
  </r>
  <r>
    <s v="2024-10-29"/>
    <x v="2"/>
    <x v="3"/>
    <x v="0"/>
    <n v="11"/>
    <n v="5.95"/>
    <n v="65.45"/>
  </r>
  <r>
    <s v="2024-09-18"/>
    <x v="0"/>
    <x v="11"/>
    <x v="0"/>
    <n v="10"/>
    <n v="8.73"/>
    <n v="87.300000000000011"/>
  </r>
  <r>
    <s v="2024-12-16"/>
    <x v="10"/>
    <x v="0"/>
    <x v="0"/>
    <n v="15"/>
    <n v="51.68"/>
    <n v="775.2"/>
  </r>
  <r>
    <s v="2024-06-19"/>
    <x v="6"/>
    <x v="2"/>
    <x v="1"/>
    <n v="10"/>
    <n v="395.89"/>
    <n v="3958.8999999999996"/>
  </r>
  <r>
    <s v="2024-08-28"/>
    <x v="8"/>
    <x v="8"/>
    <x v="2"/>
    <n v="14"/>
    <n v="1356.26"/>
    <n v="18987.64"/>
  </r>
  <r>
    <s v="2024-11-04"/>
    <x v="9"/>
    <x v="3"/>
    <x v="0"/>
    <n v="13"/>
    <n v="8.01"/>
    <n v="104.13"/>
  </r>
  <r>
    <s v="2024-01-30"/>
    <x v="7"/>
    <x v="2"/>
    <x v="1"/>
    <n v="14"/>
    <n v="437.4"/>
    <n v="6123.5999999999995"/>
  </r>
  <r>
    <s v="2024-08-02"/>
    <x v="8"/>
    <x v="9"/>
    <x v="2"/>
    <n v="12"/>
    <n v="566.46"/>
    <n v="6797.52"/>
  </r>
  <r>
    <s v="2024-11-23"/>
    <x v="9"/>
    <x v="1"/>
    <x v="0"/>
    <n v="12"/>
    <n v="72.73"/>
    <n v="872.76"/>
  </r>
  <r>
    <s v="2024-01-29"/>
    <x v="7"/>
    <x v="0"/>
    <x v="0"/>
    <n v="6"/>
    <n v="29.63"/>
    <n v="177.78"/>
  </r>
  <r>
    <s v="2024-09-08"/>
    <x v="0"/>
    <x v="1"/>
    <x v="0"/>
    <n v="10"/>
    <n v="107.94"/>
    <n v="1079.4000000000001"/>
  </r>
  <r>
    <s v="2024-09-23"/>
    <x v="0"/>
    <x v="8"/>
    <x v="2"/>
    <n v="3"/>
    <n v="735.67"/>
    <n v="2207.0099999999998"/>
  </r>
  <r>
    <s v="2024-09-20"/>
    <x v="0"/>
    <x v="0"/>
    <x v="0"/>
    <n v="8"/>
    <n v="31.44"/>
    <n v="251.52"/>
  </r>
  <r>
    <s v="2024-04-22"/>
    <x v="1"/>
    <x v="3"/>
    <x v="0"/>
    <n v="5"/>
    <n v="9.4"/>
    <n v="47"/>
  </r>
  <r>
    <s v="2024-11-22"/>
    <x v="9"/>
    <x v="9"/>
    <x v="2"/>
    <n v="15"/>
    <n v="1208.05"/>
    <n v="18120.75"/>
  </r>
  <r>
    <s v="2024-07-10"/>
    <x v="11"/>
    <x v="8"/>
    <x v="2"/>
    <n v="1"/>
    <n v="2071.86"/>
    <n v="2071.86"/>
  </r>
  <r>
    <s v="2024-09-30"/>
    <x v="0"/>
    <x v="4"/>
    <x v="2"/>
    <n v="12"/>
    <n v="765.19"/>
    <n v="9182.2800000000007"/>
  </r>
  <r>
    <s v="2024-08-04"/>
    <x v="8"/>
    <x v="4"/>
    <x v="2"/>
    <n v="2"/>
    <n v="476.23"/>
    <n v="952.46"/>
  </r>
  <r>
    <s v="2024-03-19"/>
    <x v="5"/>
    <x v="2"/>
    <x v="1"/>
    <n v="15"/>
    <n v="322.81"/>
    <n v="4842.1499999999996"/>
  </r>
  <r>
    <s v="2024-01-06"/>
    <x v="7"/>
    <x v="6"/>
    <x v="2"/>
    <n v="6"/>
    <n v="657.29"/>
    <n v="3943.74"/>
  </r>
  <r>
    <s v="2024-12-17"/>
    <x v="10"/>
    <x v="11"/>
    <x v="0"/>
    <n v="7"/>
    <n v="5.74"/>
    <n v="40.18"/>
  </r>
  <r>
    <s v="2024-11-10"/>
    <x v="9"/>
    <x v="5"/>
    <x v="1"/>
    <n v="4"/>
    <n v="1782.6"/>
    <n v="7130.4"/>
  </r>
  <r>
    <s v="2024-12-15"/>
    <x v="10"/>
    <x v="8"/>
    <x v="2"/>
    <n v="13"/>
    <n v="1622.44"/>
    <n v="21091.72"/>
  </r>
  <r>
    <s v="2024-12-04"/>
    <x v="10"/>
    <x v="6"/>
    <x v="2"/>
    <n v="2"/>
    <n v="903.21"/>
    <n v="1806.42"/>
  </r>
  <r>
    <s v="2024-01-07"/>
    <x v="7"/>
    <x v="8"/>
    <x v="2"/>
    <n v="2"/>
    <n v="1405.07"/>
    <n v="2810.14"/>
  </r>
  <r>
    <s v="2024-06-24"/>
    <x v="6"/>
    <x v="9"/>
    <x v="2"/>
    <n v="10"/>
    <n v="1080.5999999999999"/>
    <n v="10806"/>
  </r>
  <r>
    <s v="2024-05-03"/>
    <x v="3"/>
    <x v="6"/>
    <x v="2"/>
    <n v="12"/>
    <n v="973.62"/>
    <n v="11683.44"/>
  </r>
  <r>
    <s v="2024-04-18"/>
    <x v="1"/>
    <x v="6"/>
    <x v="2"/>
    <n v="4"/>
    <n v="889.1"/>
    <n v="3556.4"/>
  </r>
  <r>
    <s v="2024-03-05"/>
    <x v="5"/>
    <x v="9"/>
    <x v="2"/>
    <n v="12"/>
    <n v="797.85"/>
    <n v="9574.2000000000007"/>
  </r>
  <r>
    <s v="2024-11-20"/>
    <x v="9"/>
    <x v="2"/>
    <x v="1"/>
    <n v="13"/>
    <n v="169.41"/>
    <n v="2202.33"/>
  </r>
  <r>
    <s v="2024-10-26"/>
    <x v="2"/>
    <x v="9"/>
    <x v="2"/>
    <n v="15"/>
    <n v="1407.23"/>
    <n v="21108.45"/>
  </r>
  <r>
    <s v="2024-03-09"/>
    <x v="5"/>
    <x v="4"/>
    <x v="2"/>
    <n v="14"/>
    <n v="528.29999999999995"/>
    <n v="7396.1999999999989"/>
  </r>
  <r>
    <s v="2024-07-13"/>
    <x v="11"/>
    <x v="9"/>
    <x v="2"/>
    <n v="9"/>
    <n v="449.6"/>
    <n v="4046.4"/>
  </r>
  <r>
    <s v="2024-11-16"/>
    <x v="9"/>
    <x v="9"/>
    <x v="2"/>
    <n v="9"/>
    <n v="1442.31"/>
    <n v="12980.789999999999"/>
  </r>
  <r>
    <s v="2024-10-28"/>
    <x v="2"/>
    <x v="10"/>
    <x v="0"/>
    <n v="9"/>
    <n v="5.43"/>
    <n v="48.87"/>
  </r>
  <r>
    <s v="2024-03-06"/>
    <x v="5"/>
    <x v="2"/>
    <x v="1"/>
    <n v="12"/>
    <n v="264.74"/>
    <n v="3176.88"/>
  </r>
  <r>
    <s v="2024-03-29"/>
    <x v="5"/>
    <x v="10"/>
    <x v="0"/>
    <n v="7"/>
    <n v="2.6"/>
    <n v="18.2"/>
  </r>
  <r>
    <s v="2024-05-01"/>
    <x v="3"/>
    <x v="11"/>
    <x v="0"/>
    <n v="9"/>
    <n v="18.71"/>
    <n v="168.39000000000001"/>
  </r>
  <r>
    <s v="2024-01-26"/>
    <x v="7"/>
    <x v="0"/>
    <x v="0"/>
    <n v="13"/>
    <n v="62.2"/>
    <n v="808.6"/>
  </r>
  <r>
    <s v="2024-09-13"/>
    <x v="0"/>
    <x v="1"/>
    <x v="0"/>
    <n v="11"/>
    <n v="68.69"/>
    <n v="755.58999999999992"/>
  </r>
  <r>
    <s v="2024-01-28"/>
    <x v="7"/>
    <x v="0"/>
    <x v="0"/>
    <n v="7"/>
    <n v="53.26"/>
    <n v="372.82"/>
  </r>
  <r>
    <s v="2024-10-03"/>
    <x v="2"/>
    <x v="9"/>
    <x v="2"/>
    <n v="15"/>
    <n v="1127"/>
    <n v="16905"/>
  </r>
  <r>
    <s v="2024-02-26"/>
    <x v="4"/>
    <x v="7"/>
    <x v="0"/>
    <n v="8"/>
    <n v="151.43"/>
    <n v="1211.44"/>
  </r>
  <r>
    <s v="2024-06-13"/>
    <x v="6"/>
    <x v="10"/>
    <x v="0"/>
    <n v="10"/>
    <n v="3.66"/>
    <n v="36.6"/>
  </r>
  <r>
    <s v="2024-06-11"/>
    <x v="6"/>
    <x v="5"/>
    <x v="1"/>
    <n v="15"/>
    <n v="1308.99"/>
    <n v="19634.849999999999"/>
  </r>
  <r>
    <s v="2024-03-04"/>
    <x v="5"/>
    <x v="11"/>
    <x v="0"/>
    <n v="6"/>
    <n v="19.98"/>
    <n v="119.88"/>
  </r>
  <r>
    <s v="2024-01-15"/>
    <x v="7"/>
    <x v="7"/>
    <x v="0"/>
    <n v="1"/>
    <n v="136.32"/>
    <n v="136.32"/>
  </r>
  <r>
    <s v="2024-10-06"/>
    <x v="2"/>
    <x v="1"/>
    <x v="0"/>
    <n v="11"/>
    <n v="59.17"/>
    <n v="650.87"/>
  </r>
  <r>
    <s v="2024-07-03"/>
    <x v="11"/>
    <x v="5"/>
    <x v="1"/>
    <n v="7"/>
    <n v="543.58000000000004"/>
    <n v="3805.0600000000004"/>
  </r>
  <r>
    <s v="2024-11-25"/>
    <x v="9"/>
    <x v="10"/>
    <x v="0"/>
    <n v="15"/>
    <n v="3.25"/>
    <n v="48.75"/>
  </r>
  <r>
    <s v="2024-07-07"/>
    <x v="11"/>
    <x v="5"/>
    <x v="1"/>
    <n v="9"/>
    <n v="1524.74"/>
    <n v="13722.66"/>
  </r>
  <r>
    <s v="2024-09-16"/>
    <x v="0"/>
    <x v="8"/>
    <x v="2"/>
    <n v="10"/>
    <n v="1312.56"/>
    <n v="13125.599999999999"/>
  </r>
  <r>
    <s v="2024-06-12"/>
    <x v="6"/>
    <x v="3"/>
    <x v="0"/>
    <n v="11"/>
    <n v="7.89"/>
    <n v="86.789999999999992"/>
  </r>
  <r>
    <s v="2024-06-08"/>
    <x v="6"/>
    <x v="4"/>
    <x v="2"/>
    <n v="3"/>
    <n v="787.14"/>
    <n v="2361.42"/>
  </r>
  <r>
    <s v="2024-08-03"/>
    <x v="8"/>
    <x v="6"/>
    <x v="2"/>
    <n v="8"/>
    <n v="613.76"/>
    <n v="4910.08"/>
  </r>
  <r>
    <s v="2024-05-30"/>
    <x v="3"/>
    <x v="1"/>
    <x v="0"/>
    <n v="12"/>
    <n v="89.33"/>
    <n v="1071.96"/>
  </r>
  <r>
    <s v="2024-02-17"/>
    <x v="4"/>
    <x v="7"/>
    <x v="0"/>
    <n v="6"/>
    <n v="150.68"/>
    <n v="904.08"/>
  </r>
  <r>
    <s v="2024-06-02"/>
    <x v="6"/>
    <x v="3"/>
    <x v="0"/>
    <n v="7"/>
    <n v="8.56"/>
    <n v="59.92"/>
  </r>
  <r>
    <s v="2024-03-01"/>
    <x v="5"/>
    <x v="1"/>
    <x v="0"/>
    <n v="8"/>
    <n v="40.799999999999997"/>
    <n v="326.39999999999998"/>
  </r>
  <r>
    <s v="2024-04-02"/>
    <x v="1"/>
    <x v="3"/>
    <x v="0"/>
    <n v="11"/>
    <n v="6.65"/>
    <n v="73.150000000000006"/>
  </r>
  <r>
    <s v="2024-01-29"/>
    <x v="7"/>
    <x v="2"/>
    <x v="1"/>
    <n v="3"/>
    <n v="253.93"/>
    <n v="761.79"/>
  </r>
  <r>
    <s v="2024-06-01"/>
    <x v="6"/>
    <x v="6"/>
    <x v="2"/>
    <n v="13"/>
    <n v="635.01"/>
    <n v="8255.1299999999992"/>
  </r>
  <r>
    <s v="2024-04-27"/>
    <x v="1"/>
    <x v="0"/>
    <x v="0"/>
    <n v="3"/>
    <n v="51.79"/>
    <n v="155.37"/>
  </r>
  <r>
    <s v="2024-10-14"/>
    <x v="2"/>
    <x v="0"/>
    <x v="0"/>
    <n v="7"/>
    <n v="40.22"/>
    <n v="281.53999999999996"/>
  </r>
  <r>
    <s v="2024-05-29"/>
    <x v="3"/>
    <x v="1"/>
    <x v="0"/>
    <n v="3"/>
    <n v="59.55"/>
    <n v="178.64999999999998"/>
  </r>
  <r>
    <s v="2024-02-17"/>
    <x v="4"/>
    <x v="11"/>
    <x v="0"/>
    <n v="13"/>
    <n v="11.91"/>
    <n v="154.83000000000001"/>
  </r>
  <r>
    <s v="2024-05-29"/>
    <x v="3"/>
    <x v="3"/>
    <x v="0"/>
    <n v="10"/>
    <n v="5.35"/>
    <n v="53.5"/>
  </r>
  <r>
    <s v="2024-09-13"/>
    <x v="0"/>
    <x v="6"/>
    <x v="2"/>
    <n v="11"/>
    <n v="484.04"/>
    <n v="5324.4400000000005"/>
  </r>
  <r>
    <s v="2024-02-02"/>
    <x v="4"/>
    <x v="6"/>
    <x v="2"/>
    <n v="4"/>
    <n v="1060.1400000000001"/>
    <n v="4240.5600000000004"/>
  </r>
  <r>
    <s v="2024-12-28"/>
    <x v="10"/>
    <x v="5"/>
    <x v="1"/>
    <n v="11"/>
    <n v="685.86"/>
    <n v="7544.46"/>
  </r>
  <r>
    <s v="2024-11-13"/>
    <x v="9"/>
    <x v="5"/>
    <x v="1"/>
    <n v="10"/>
    <n v="1170.5999999999999"/>
    <n v="11706"/>
  </r>
  <r>
    <s v="2024-11-17"/>
    <x v="9"/>
    <x v="7"/>
    <x v="0"/>
    <n v="14"/>
    <n v="82.88"/>
    <n v="1160.32"/>
  </r>
  <r>
    <s v="2024-02-14"/>
    <x v="4"/>
    <x v="1"/>
    <x v="0"/>
    <n v="11"/>
    <n v="43.93"/>
    <n v="483.23"/>
  </r>
  <r>
    <s v="2024-05-01"/>
    <x v="3"/>
    <x v="6"/>
    <x v="2"/>
    <n v="9"/>
    <n v="1124.25"/>
    <n v="10118.25"/>
  </r>
  <r>
    <s v="2024-03-31"/>
    <x v="5"/>
    <x v="5"/>
    <x v="1"/>
    <n v="13"/>
    <n v="1904.19"/>
    <n v="24754.47"/>
  </r>
  <r>
    <s v="2024-09-29"/>
    <x v="0"/>
    <x v="0"/>
    <x v="0"/>
    <n v="4"/>
    <n v="40.700000000000003"/>
    <n v="162.80000000000001"/>
  </r>
  <r>
    <s v="2024-08-17"/>
    <x v="8"/>
    <x v="11"/>
    <x v="0"/>
    <n v="7"/>
    <n v="16.63"/>
    <n v="116.41"/>
  </r>
  <r>
    <s v="2024-10-27"/>
    <x v="2"/>
    <x v="0"/>
    <x v="0"/>
    <n v="14"/>
    <n v="31.53"/>
    <n v="441.42"/>
  </r>
  <r>
    <s v="2024-05-29"/>
    <x v="3"/>
    <x v="10"/>
    <x v="0"/>
    <n v="13"/>
    <n v="2.57"/>
    <n v="33.409999999999997"/>
  </r>
  <r>
    <s v="2024-03-20"/>
    <x v="5"/>
    <x v="6"/>
    <x v="2"/>
    <n v="1"/>
    <n v="695.69"/>
    <n v="695.69"/>
  </r>
  <r>
    <s v="2024-10-08"/>
    <x v="2"/>
    <x v="5"/>
    <x v="1"/>
    <n v="13"/>
    <n v="1649.84"/>
    <n v="21447.919999999998"/>
  </r>
  <r>
    <s v="2024-08-12"/>
    <x v="8"/>
    <x v="4"/>
    <x v="2"/>
    <n v="15"/>
    <n v="823.85"/>
    <n v="12357.75"/>
  </r>
  <r>
    <s v="2024-05-25"/>
    <x v="3"/>
    <x v="1"/>
    <x v="0"/>
    <n v="11"/>
    <n v="100.64"/>
    <n v="1107.04"/>
  </r>
  <r>
    <s v="2024-01-04"/>
    <x v="7"/>
    <x v="9"/>
    <x v="2"/>
    <n v="6"/>
    <n v="1094.8699999999999"/>
    <n v="6569.2199999999993"/>
  </r>
  <r>
    <s v="2024-04-06"/>
    <x v="1"/>
    <x v="11"/>
    <x v="0"/>
    <n v="15"/>
    <n v="6.73"/>
    <n v="100.95"/>
  </r>
  <r>
    <s v="2024-12-02"/>
    <x v="10"/>
    <x v="2"/>
    <x v="1"/>
    <n v="6"/>
    <n v="289.14999999999998"/>
    <n v="1734.8999999999999"/>
  </r>
  <r>
    <s v="2024-07-15"/>
    <x v="11"/>
    <x v="4"/>
    <x v="2"/>
    <n v="15"/>
    <n v="517.29"/>
    <n v="7759.3499999999995"/>
  </r>
  <r>
    <s v="2024-08-07"/>
    <x v="8"/>
    <x v="0"/>
    <x v="0"/>
    <n v="15"/>
    <n v="78.3"/>
    <n v="1174.5"/>
  </r>
  <r>
    <s v="2024-02-21"/>
    <x v="4"/>
    <x v="6"/>
    <x v="2"/>
    <n v="6"/>
    <n v="1142.18"/>
    <n v="6853.08"/>
  </r>
  <r>
    <s v="2024-11-27"/>
    <x v="9"/>
    <x v="7"/>
    <x v="0"/>
    <n v="4"/>
    <n v="229.95"/>
    <n v="919.8"/>
  </r>
  <r>
    <s v="2024-09-13"/>
    <x v="0"/>
    <x v="7"/>
    <x v="0"/>
    <n v="12"/>
    <n v="202"/>
    <n v="2424"/>
  </r>
  <r>
    <s v="2024-03-25"/>
    <x v="5"/>
    <x v="6"/>
    <x v="2"/>
    <n v="10"/>
    <n v="600.12"/>
    <n v="6001.2"/>
  </r>
  <r>
    <s v="2024-09-02"/>
    <x v="0"/>
    <x v="8"/>
    <x v="2"/>
    <n v="2"/>
    <n v="2213.62"/>
    <n v="4427.24"/>
  </r>
  <r>
    <s v="2024-06-26"/>
    <x v="6"/>
    <x v="4"/>
    <x v="2"/>
    <n v="4"/>
    <n v="1388.76"/>
    <n v="5555.04"/>
  </r>
  <r>
    <s v="2024-07-02"/>
    <x v="11"/>
    <x v="11"/>
    <x v="0"/>
    <n v="8"/>
    <n v="6.72"/>
    <n v="53.76"/>
  </r>
  <r>
    <s v="2024-10-02"/>
    <x v="2"/>
    <x v="4"/>
    <x v="2"/>
    <n v="4"/>
    <n v="883.3"/>
    <n v="3533.2"/>
  </r>
  <r>
    <s v="2024-09-22"/>
    <x v="0"/>
    <x v="7"/>
    <x v="0"/>
    <n v="5"/>
    <n v="89.96"/>
    <n v="449.79999999999995"/>
  </r>
  <r>
    <s v="2024-11-17"/>
    <x v="9"/>
    <x v="11"/>
    <x v="0"/>
    <n v="7"/>
    <n v="15.09"/>
    <n v="105.63"/>
  </r>
  <r>
    <s v="2024-10-01"/>
    <x v="2"/>
    <x v="10"/>
    <x v="0"/>
    <n v="12"/>
    <n v="2.56"/>
    <n v="30.72"/>
  </r>
  <r>
    <s v="2024-10-29"/>
    <x v="2"/>
    <x v="2"/>
    <x v="1"/>
    <n v="3"/>
    <n v="373.4"/>
    <n v="1120.1999999999998"/>
  </r>
  <r>
    <s v="2024-07-02"/>
    <x v="11"/>
    <x v="1"/>
    <x v="0"/>
    <n v="10"/>
    <n v="49.4"/>
    <n v="494"/>
  </r>
  <r>
    <s v="2024-12-22"/>
    <x v="10"/>
    <x v="3"/>
    <x v="0"/>
    <n v="14"/>
    <n v="7.88"/>
    <n v="110.32"/>
  </r>
  <r>
    <s v="2024-12-21"/>
    <x v="10"/>
    <x v="9"/>
    <x v="2"/>
    <n v="8"/>
    <n v="1312.19"/>
    <n v="10497.52"/>
  </r>
  <r>
    <s v="2024-12-18"/>
    <x v="10"/>
    <x v="3"/>
    <x v="0"/>
    <n v="6"/>
    <n v="4.25"/>
    <n v="25.5"/>
  </r>
  <r>
    <s v="2024-12-18"/>
    <x v="10"/>
    <x v="1"/>
    <x v="0"/>
    <n v="9"/>
    <n v="49.31"/>
    <n v="443.79"/>
  </r>
  <r>
    <s v="2024-03-26"/>
    <x v="5"/>
    <x v="11"/>
    <x v="0"/>
    <n v="13"/>
    <n v="18.579999999999998"/>
    <n v="241.53999999999996"/>
  </r>
  <r>
    <s v="2024-05-07"/>
    <x v="3"/>
    <x v="5"/>
    <x v="1"/>
    <n v="6"/>
    <n v="1739.64"/>
    <n v="10437.84"/>
  </r>
  <r>
    <s v="2024-06-07"/>
    <x v="6"/>
    <x v="2"/>
    <x v="1"/>
    <n v="9"/>
    <n v="597.79"/>
    <n v="5380.11"/>
  </r>
  <r>
    <s v="2024-10-03"/>
    <x v="2"/>
    <x v="3"/>
    <x v="0"/>
    <n v="1"/>
    <n v="7.46"/>
    <n v="7.46"/>
  </r>
  <r>
    <s v="2024-11-30"/>
    <x v="9"/>
    <x v="9"/>
    <x v="2"/>
    <n v="14"/>
    <n v="1350.42"/>
    <n v="18905.88"/>
  </r>
  <r>
    <s v="2024-05-16"/>
    <x v="3"/>
    <x v="11"/>
    <x v="0"/>
    <n v="9"/>
    <n v="6.95"/>
    <n v="62.550000000000004"/>
  </r>
  <r>
    <s v="2024-05-30"/>
    <x v="3"/>
    <x v="5"/>
    <x v="1"/>
    <n v="7"/>
    <n v="1467.45"/>
    <n v="10272.15"/>
  </r>
  <r>
    <s v="2024-03-26"/>
    <x v="5"/>
    <x v="8"/>
    <x v="2"/>
    <n v="3"/>
    <n v="1321.24"/>
    <n v="3963.7200000000003"/>
  </r>
  <r>
    <s v="2024-01-04"/>
    <x v="7"/>
    <x v="9"/>
    <x v="2"/>
    <n v="9"/>
    <n v="1009.91"/>
    <n v="9089.19"/>
  </r>
  <r>
    <s v="2024-01-21"/>
    <x v="7"/>
    <x v="3"/>
    <x v="0"/>
    <n v="12"/>
    <n v="9.0399999999999991"/>
    <n v="108.47999999999999"/>
  </r>
  <r>
    <s v="2024-12-31"/>
    <x v="10"/>
    <x v="4"/>
    <x v="2"/>
    <n v="2"/>
    <n v="1311.84"/>
    <n v="2623.68"/>
  </r>
  <r>
    <s v="2024-07-15"/>
    <x v="11"/>
    <x v="1"/>
    <x v="0"/>
    <n v="7"/>
    <n v="116.96"/>
    <n v="818.71999999999991"/>
  </r>
  <r>
    <s v="2024-07-09"/>
    <x v="11"/>
    <x v="6"/>
    <x v="2"/>
    <n v="5"/>
    <n v="723.37"/>
    <n v="3616.85"/>
  </r>
  <r>
    <s v="2024-03-12"/>
    <x v="5"/>
    <x v="0"/>
    <x v="0"/>
    <n v="13"/>
    <n v="47.57"/>
    <n v="618.41"/>
  </r>
  <r>
    <s v="2024-09-15"/>
    <x v="0"/>
    <x v="6"/>
    <x v="2"/>
    <n v="1"/>
    <n v="648.58000000000004"/>
    <n v="648.58000000000004"/>
  </r>
  <r>
    <s v="2024-07-30"/>
    <x v="11"/>
    <x v="11"/>
    <x v="0"/>
    <n v="11"/>
    <n v="18.34"/>
    <n v="201.74"/>
  </r>
  <r>
    <s v="2024-07-30"/>
    <x v="11"/>
    <x v="5"/>
    <x v="1"/>
    <n v="7"/>
    <n v="1118.3599999999999"/>
    <n v="7828.5199999999995"/>
  </r>
  <r>
    <s v="2024-04-08"/>
    <x v="1"/>
    <x v="2"/>
    <x v="1"/>
    <n v="13"/>
    <n v="164.27"/>
    <n v="2135.5100000000002"/>
  </r>
  <r>
    <s v="2024-05-19"/>
    <x v="3"/>
    <x v="3"/>
    <x v="0"/>
    <n v="7"/>
    <n v="4.8499999999999996"/>
    <n v="33.949999999999996"/>
  </r>
  <r>
    <s v="2024-06-15"/>
    <x v="6"/>
    <x v="3"/>
    <x v="0"/>
    <n v="2"/>
    <n v="4.7300000000000004"/>
    <n v="9.4600000000000009"/>
  </r>
  <r>
    <s v="2024-06-20"/>
    <x v="6"/>
    <x v="6"/>
    <x v="2"/>
    <n v="12"/>
    <n v="798.92"/>
    <n v="9587.0399999999991"/>
  </r>
  <r>
    <s v="2024-09-21"/>
    <x v="0"/>
    <x v="2"/>
    <x v="1"/>
    <n v="7"/>
    <n v="382.29"/>
    <n v="2676.03"/>
  </r>
  <r>
    <s v="2024-01-01"/>
    <x v="7"/>
    <x v="10"/>
    <x v="0"/>
    <n v="2"/>
    <n v="5.74"/>
    <n v="11.48"/>
  </r>
  <r>
    <s v="2024-12-17"/>
    <x v="10"/>
    <x v="8"/>
    <x v="2"/>
    <n v="7"/>
    <n v="1720.59"/>
    <n v="12044.13"/>
  </r>
  <r>
    <s v="2024-01-10"/>
    <x v="7"/>
    <x v="3"/>
    <x v="0"/>
    <n v="15"/>
    <n v="6.45"/>
    <n v="96.75"/>
  </r>
  <r>
    <s v="2024-05-07"/>
    <x v="3"/>
    <x v="3"/>
    <x v="0"/>
    <n v="5"/>
    <n v="4.8600000000000003"/>
    <n v="24.3"/>
  </r>
  <r>
    <s v="2024-06-14"/>
    <x v="6"/>
    <x v="2"/>
    <x v="1"/>
    <n v="15"/>
    <n v="155.37"/>
    <n v="2330.5500000000002"/>
  </r>
  <r>
    <s v="2024-06-21"/>
    <x v="6"/>
    <x v="11"/>
    <x v="0"/>
    <n v="8"/>
    <n v="12.44"/>
    <n v="99.52"/>
  </r>
  <r>
    <s v="2024-03-25"/>
    <x v="5"/>
    <x v="10"/>
    <x v="0"/>
    <n v="5"/>
    <n v="6.92"/>
    <n v="34.6"/>
  </r>
  <r>
    <s v="2024-02-09"/>
    <x v="4"/>
    <x v="8"/>
    <x v="2"/>
    <n v="8"/>
    <n v="2232.92"/>
    <n v="17863.36"/>
  </r>
  <r>
    <s v="2024-07-11"/>
    <x v="11"/>
    <x v="3"/>
    <x v="0"/>
    <n v="12"/>
    <n v="3.58"/>
    <n v="42.96"/>
  </r>
  <r>
    <s v="2024-12-06"/>
    <x v="10"/>
    <x v="10"/>
    <x v="0"/>
    <n v="9"/>
    <n v="5.2"/>
    <n v="46.800000000000004"/>
  </r>
  <r>
    <s v="2024-11-08"/>
    <x v="9"/>
    <x v="11"/>
    <x v="0"/>
    <n v="13"/>
    <n v="6.2"/>
    <n v="80.600000000000009"/>
  </r>
  <r>
    <s v="2024-05-30"/>
    <x v="3"/>
    <x v="4"/>
    <x v="2"/>
    <n v="9"/>
    <n v="942.5"/>
    <n v="8482.5"/>
  </r>
  <r>
    <s v="2024-06-20"/>
    <x v="6"/>
    <x v="1"/>
    <x v="0"/>
    <n v="7"/>
    <n v="108.96"/>
    <n v="762.71999999999991"/>
  </r>
  <r>
    <s v="2024-11-23"/>
    <x v="9"/>
    <x v="4"/>
    <x v="2"/>
    <n v="15"/>
    <n v="745.19"/>
    <n v="11177.85"/>
  </r>
  <r>
    <s v="2024-04-07"/>
    <x v="1"/>
    <x v="1"/>
    <x v="0"/>
    <n v="4"/>
    <n v="79.31"/>
    <n v="317.24"/>
  </r>
  <r>
    <s v="2024-09-19"/>
    <x v="0"/>
    <x v="5"/>
    <x v="1"/>
    <n v="3"/>
    <n v="1495.02"/>
    <n v="4485.0599999999995"/>
  </r>
  <r>
    <s v="2024-09-03"/>
    <x v="0"/>
    <x v="8"/>
    <x v="2"/>
    <n v="6"/>
    <n v="1260.1099999999999"/>
    <n v="7560.66"/>
  </r>
  <r>
    <s v="2024-09-20"/>
    <x v="0"/>
    <x v="6"/>
    <x v="2"/>
    <n v="4"/>
    <n v="952.24"/>
    <n v="3808.96"/>
  </r>
  <r>
    <s v="2024-07-05"/>
    <x v="11"/>
    <x v="1"/>
    <x v="0"/>
    <n v="14"/>
    <n v="108.43"/>
    <n v="1518.02"/>
  </r>
  <r>
    <s v="2024-10-11"/>
    <x v="2"/>
    <x v="3"/>
    <x v="0"/>
    <n v="10"/>
    <n v="7.33"/>
    <n v="73.3"/>
  </r>
  <r>
    <s v="2024-03-20"/>
    <x v="5"/>
    <x v="4"/>
    <x v="2"/>
    <n v="3"/>
    <n v="1058.33"/>
    <n v="3174.99"/>
  </r>
  <r>
    <s v="2024-12-09"/>
    <x v="10"/>
    <x v="7"/>
    <x v="0"/>
    <n v="4"/>
    <n v="244.5"/>
    <n v="978"/>
  </r>
  <r>
    <s v="2024-12-19"/>
    <x v="10"/>
    <x v="7"/>
    <x v="0"/>
    <n v="13"/>
    <n v="85.31"/>
    <n v="1109.03"/>
  </r>
  <r>
    <s v="2024-05-16"/>
    <x v="3"/>
    <x v="3"/>
    <x v="0"/>
    <n v="14"/>
    <n v="5.55"/>
    <n v="77.7"/>
  </r>
  <r>
    <s v="2024-09-09"/>
    <x v="0"/>
    <x v="7"/>
    <x v="0"/>
    <n v="13"/>
    <n v="106.24"/>
    <n v="1381.12"/>
  </r>
  <r>
    <s v="2024-10-08"/>
    <x v="2"/>
    <x v="5"/>
    <x v="1"/>
    <n v="5"/>
    <n v="1179.53"/>
    <n v="5897.65"/>
  </r>
  <r>
    <s v="2024-11-09"/>
    <x v="9"/>
    <x v="9"/>
    <x v="2"/>
    <n v="4"/>
    <n v="795.21"/>
    <n v="3180.84"/>
  </r>
  <r>
    <s v="2024-02-23"/>
    <x v="4"/>
    <x v="2"/>
    <x v="1"/>
    <n v="4"/>
    <n v="473.73"/>
    <n v="1894.92"/>
  </r>
  <r>
    <s v="2024-04-30"/>
    <x v="1"/>
    <x v="9"/>
    <x v="2"/>
    <n v="11"/>
    <n v="1271.6099999999999"/>
    <n v="13987.71"/>
  </r>
  <r>
    <s v="2024-12-18"/>
    <x v="10"/>
    <x v="5"/>
    <x v="1"/>
    <n v="2"/>
    <n v="1457.37"/>
    <n v="2914.74"/>
  </r>
  <r>
    <s v="2024-04-16"/>
    <x v="1"/>
    <x v="6"/>
    <x v="2"/>
    <n v="6"/>
    <n v="880.3"/>
    <n v="5281.7999999999993"/>
  </r>
  <r>
    <s v="2024-01-06"/>
    <x v="7"/>
    <x v="5"/>
    <x v="1"/>
    <n v="11"/>
    <n v="1231.3499999999999"/>
    <n v="13544.849999999999"/>
  </r>
  <r>
    <s v="2024-04-14"/>
    <x v="1"/>
    <x v="7"/>
    <x v="0"/>
    <n v="8"/>
    <n v="180.44"/>
    <n v="1443.52"/>
  </r>
  <r>
    <s v="2024-04-26"/>
    <x v="1"/>
    <x v="10"/>
    <x v="0"/>
    <n v="6"/>
    <n v="7.9"/>
    <n v="47.400000000000006"/>
  </r>
  <r>
    <s v="2024-05-05"/>
    <x v="3"/>
    <x v="4"/>
    <x v="2"/>
    <n v="1"/>
    <n v="1030.2"/>
    <n v="1030.2"/>
  </r>
  <r>
    <s v="2024-07-13"/>
    <x v="11"/>
    <x v="4"/>
    <x v="2"/>
    <n v="3"/>
    <n v="573.39"/>
    <n v="1720.17"/>
  </r>
  <r>
    <s v="2024-11-20"/>
    <x v="9"/>
    <x v="2"/>
    <x v="1"/>
    <n v="12"/>
    <n v="498.11"/>
    <n v="5977.32"/>
  </r>
  <r>
    <s v="2024-07-21"/>
    <x v="11"/>
    <x v="5"/>
    <x v="1"/>
    <n v="7"/>
    <n v="761.7"/>
    <n v="5331.9000000000005"/>
  </r>
  <r>
    <s v="2024-04-20"/>
    <x v="1"/>
    <x v="1"/>
    <x v="0"/>
    <n v="8"/>
    <n v="115.03"/>
    <n v="920.24"/>
  </r>
  <r>
    <s v="2024-09-08"/>
    <x v="0"/>
    <x v="8"/>
    <x v="2"/>
    <n v="13"/>
    <n v="1390.88"/>
    <n v="18081.440000000002"/>
  </r>
  <r>
    <s v="2024-03-23"/>
    <x v="5"/>
    <x v="10"/>
    <x v="0"/>
    <n v="4"/>
    <n v="7.33"/>
    <n v="29.32"/>
  </r>
  <r>
    <s v="2024-01-18"/>
    <x v="7"/>
    <x v="6"/>
    <x v="2"/>
    <n v="4"/>
    <n v="1045.03"/>
    <n v="4180.12"/>
  </r>
  <r>
    <s v="2024-12-10"/>
    <x v="10"/>
    <x v="2"/>
    <x v="1"/>
    <n v="11"/>
    <n v="533.66999999999996"/>
    <n v="5870.37"/>
  </r>
  <r>
    <s v="2024-11-16"/>
    <x v="9"/>
    <x v="5"/>
    <x v="1"/>
    <n v="12"/>
    <n v="1574.63"/>
    <n v="18895.560000000001"/>
  </r>
  <r>
    <s v="2024-07-28"/>
    <x v="11"/>
    <x v="7"/>
    <x v="0"/>
    <n v="5"/>
    <n v="82.38"/>
    <n v="411.9"/>
  </r>
  <r>
    <s v="2024-07-12"/>
    <x v="11"/>
    <x v="5"/>
    <x v="1"/>
    <n v="12"/>
    <n v="1471.08"/>
    <n v="17652.96"/>
  </r>
  <r>
    <s v="2024-04-16"/>
    <x v="1"/>
    <x v="7"/>
    <x v="0"/>
    <n v="12"/>
    <n v="102.15"/>
    <n v="1225.8000000000002"/>
  </r>
  <r>
    <s v="2024-12-15"/>
    <x v="10"/>
    <x v="11"/>
    <x v="0"/>
    <n v="5"/>
    <n v="6.28"/>
    <n v="31.400000000000002"/>
  </r>
  <r>
    <s v="2024-03-10"/>
    <x v="5"/>
    <x v="5"/>
    <x v="1"/>
    <n v="1"/>
    <n v="937.33"/>
    <n v="937.33"/>
  </r>
  <r>
    <s v="2024-10-31"/>
    <x v="2"/>
    <x v="3"/>
    <x v="0"/>
    <n v="11"/>
    <n v="4.93"/>
    <n v="54.23"/>
  </r>
  <r>
    <s v="2024-07-28"/>
    <x v="11"/>
    <x v="4"/>
    <x v="2"/>
    <n v="7"/>
    <n v="909.07"/>
    <n v="6363.4900000000007"/>
  </r>
  <r>
    <s v="2024-05-20"/>
    <x v="3"/>
    <x v="7"/>
    <x v="0"/>
    <n v="14"/>
    <n v="122.77"/>
    <n v="1718.78"/>
  </r>
  <r>
    <s v="2024-08-13"/>
    <x v="8"/>
    <x v="3"/>
    <x v="0"/>
    <n v="7"/>
    <n v="8.2100000000000009"/>
    <n v="57.470000000000006"/>
  </r>
  <r>
    <s v="2024-12-05"/>
    <x v="10"/>
    <x v="1"/>
    <x v="0"/>
    <n v="3"/>
    <n v="74.94"/>
    <n v="224.82"/>
  </r>
  <r>
    <s v="2024-12-10"/>
    <x v="10"/>
    <x v="6"/>
    <x v="2"/>
    <n v="12"/>
    <n v="880.82"/>
    <n v="10569.84"/>
  </r>
  <r>
    <s v="2024-09-08"/>
    <x v="0"/>
    <x v="11"/>
    <x v="0"/>
    <n v="4"/>
    <n v="7.06"/>
    <n v="28.24"/>
  </r>
  <r>
    <s v="2024-06-19"/>
    <x v="6"/>
    <x v="8"/>
    <x v="2"/>
    <n v="3"/>
    <n v="764.61"/>
    <n v="2293.83"/>
  </r>
  <r>
    <s v="2024-02-09"/>
    <x v="4"/>
    <x v="11"/>
    <x v="0"/>
    <n v="2"/>
    <n v="7.98"/>
    <n v="15.96"/>
  </r>
  <r>
    <s v="2024-05-01"/>
    <x v="3"/>
    <x v="0"/>
    <x v="0"/>
    <n v="12"/>
    <n v="30.37"/>
    <n v="364.44"/>
  </r>
  <r>
    <s v="2024-12-16"/>
    <x v="10"/>
    <x v="6"/>
    <x v="2"/>
    <n v="11"/>
    <n v="407.63"/>
    <n v="4483.93"/>
  </r>
  <r>
    <s v="2024-01-27"/>
    <x v="7"/>
    <x v="11"/>
    <x v="0"/>
    <n v="14"/>
    <n v="19.850000000000001"/>
    <n v="277.90000000000003"/>
  </r>
  <r>
    <s v="2024-05-06"/>
    <x v="3"/>
    <x v="11"/>
    <x v="0"/>
    <n v="14"/>
    <n v="11.24"/>
    <n v="157.36000000000001"/>
  </r>
  <r>
    <s v="2024-11-20"/>
    <x v="9"/>
    <x v="11"/>
    <x v="0"/>
    <n v="11"/>
    <n v="19.43"/>
    <n v="213.73"/>
  </r>
  <r>
    <s v="2024-07-26"/>
    <x v="11"/>
    <x v="10"/>
    <x v="0"/>
    <n v="9"/>
    <n v="3.06"/>
    <n v="27.54"/>
  </r>
  <r>
    <s v="2024-09-16"/>
    <x v="0"/>
    <x v="4"/>
    <x v="2"/>
    <n v="15"/>
    <n v="1117.18"/>
    <n v="16757.7"/>
  </r>
  <r>
    <s v="2024-02-18"/>
    <x v="4"/>
    <x v="0"/>
    <x v="0"/>
    <n v="9"/>
    <n v="72.17"/>
    <n v="649.53"/>
  </r>
  <r>
    <s v="2024-02-15"/>
    <x v="4"/>
    <x v="1"/>
    <x v="0"/>
    <n v="2"/>
    <n v="71"/>
    <n v="142"/>
  </r>
  <r>
    <s v="2024-08-09"/>
    <x v="8"/>
    <x v="3"/>
    <x v="0"/>
    <n v="7"/>
    <n v="5.84"/>
    <n v="40.879999999999995"/>
  </r>
  <r>
    <s v="2024-10-26"/>
    <x v="2"/>
    <x v="5"/>
    <x v="1"/>
    <n v="13"/>
    <n v="1173.6500000000001"/>
    <n v="15257.45"/>
  </r>
  <r>
    <s v="2024-09-26"/>
    <x v="0"/>
    <x v="1"/>
    <x v="0"/>
    <n v="4"/>
    <n v="101.04"/>
    <n v="404.16"/>
  </r>
  <r>
    <s v="2024-03-17"/>
    <x v="5"/>
    <x v="1"/>
    <x v="0"/>
    <n v="6"/>
    <n v="113.22"/>
    <n v="679.31999999999994"/>
  </r>
  <r>
    <s v="2024-06-24"/>
    <x v="6"/>
    <x v="5"/>
    <x v="1"/>
    <n v="1"/>
    <n v="1874.42"/>
    <n v="1874.42"/>
  </r>
  <r>
    <s v="2024-09-03"/>
    <x v="0"/>
    <x v="3"/>
    <x v="0"/>
    <n v="12"/>
    <n v="5.99"/>
    <n v="71.88"/>
  </r>
  <r>
    <s v="2024-06-09"/>
    <x v="6"/>
    <x v="11"/>
    <x v="0"/>
    <n v="12"/>
    <n v="9.6"/>
    <n v="115.19999999999999"/>
  </r>
  <r>
    <s v="2024-01-18"/>
    <x v="7"/>
    <x v="10"/>
    <x v="0"/>
    <n v="5"/>
    <n v="5.26"/>
    <n v="26.299999999999997"/>
  </r>
  <r>
    <s v="2024-10-23"/>
    <x v="2"/>
    <x v="3"/>
    <x v="0"/>
    <n v="5"/>
    <n v="4.34"/>
    <n v="21.7"/>
  </r>
  <r>
    <s v="2024-06-01"/>
    <x v="6"/>
    <x v="4"/>
    <x v="2"/>
    <n v="10"/>
    <n v="720.47"/>
    <n v="7204.7000000000007"/>
  </r>
  <r>
    <s v="2024-06-26"/>
    <x v="6"/>
    <x v="8"/>
    <x v="2"/>
    <n v="7"/>
    <n v="2437.41"/>
    <n v="17061.87"/>
  </r>
  <r>
    <s v="2024-07-15"/>
    <x v="11"/>
    <x v="3"/>
    <x v="0"/>
    <n v="1"/>
    <n v="9.07"/>
    <n v="9.07"/>
  </r>
  <r>
    <s v="2024-11-14"/>
    <x v="9"/>
    <x v="9"/>
    <x v="2"/>
    <n v="12"/>
    <n v="1214.3399999999999"/>
    <n v="14572.079999999998"/>
  </r>
  <r>
    <s v="2024-10-29"/>
    <x v="2"/>
    <x v="0"/>
    <x v="0"/>
    <n v="5"/>
    <n v="34.729999999999997"/>
    <n v="173.64999999999998"/>
  </r>
  <r>
    <s v="2024-07-28"/>
    <x v="11"/>
    <x v="1"/>
    <x v="0"/>
    <n v="7"/>
    <n v="48.64"/>
    <n v="340.48"/>
  </r>
  <r>
    <s v="2024-08-26"/>
    <x v="8"/>
    <x v="0"/>
    <x v="0"/>
    <n v="3"/>
    <n v="52.74"/>
    <n v="158.22"/>
  </r>
  <r>
    <s v="2024-11-13"/>
    <x v="9"/>
    <x v="5"/>
    <x v="1"/>
    <n v="8"/>
    <n v="1544.33"/>
    <n v="12354.64"/>
  </r>
  <r>
    <s v="2024-12-09"/>
    <x v="10"/>
    <x v="5"/>
    <x v="1"/>
    <n v="11"/>
    <n v="1479.32"/>
    <n v="16272.519999999999"/>
  </r>
  <r>
    <s v="2024-10-21"/>
    <x v="2"/>
    <x v="2"/>
    <x v="1"/>
    <n v="13"/>
    <n v="284.64999999999998"/>
    <n v="3700.45"/>
  </r>
  <r>
    <s v="2024-05-01"/>
    <x v="3"/>
    <x v="11"/>
    <x v="0"/>
    <n v="11"/>
    <n v="9.91"/>
    <n v="109.01"/>
  </r>
  <r>
    <s v="2024-06-23"/>
    <x v="6"/>
    <x v="3"/>
    <x v="0"/>
    <n v="1"/>
    <n v="9.14"/>
    <n v="9.14"/>
  </r>
  <r>
    <s v="2024-11-15"/>
    <x v="9"/>
    <x v="8"/>
    <x v="2"/>
    <n v="14"/>
    <n v="1238.2"/>
    <n v="17334.8"/>
  </r>
  <r>
    <s v="2024-01-11"/>
    <x v="7"/>
    <x v="6"/>
    <x v="2"/>
    <n v="4"/>
    <n v="808.7"/>
    <n v="3234.8"/>
  </r>
  <r>
    <s v="2024-08-01"/>
    <x v="8"/>
    <x v="9"/>
    <x v="2"/>
    <n v="15"/>
    <n v="838.86"/>
    <n v="12582.9"/>
  </r>
  <r>
    <s v="2024-03-10"/>
    <x v="5"/>
    <x v="4"/>
    <x v="2"/>
    <n v="9"/>
    <n v="922.71"/>
    <n v="8304.39"/>
  </r>
  <r>
    <s v="2024-12-03"/>
    <x v="10"/>
    <x v="3"/>
    <x v="0"/>
    <n v="2"/>
    <n v="4.93"/>
    <n v="9.86"/>
  </r>
  <r>
    <s v="2024-04-14"/>
    <x v="1"/>
    <x v="9"/>
    <x v="2"/>
    <n v="15"/>
    <n v="1579.55"/>
    <n v="23693.25"/>
  </r>
  <r>
    <s v="2024-11-14"/>
    <x v="9"/>
    <x v="11"/>
    <x v="0"/>
    <n v="4"/>
    <n v="15.76"/>
    <n v="63.04"/>
  </r>
  <r>
    <s v="2024-02-02"/>
    <x v="4"/>
    <x v="6"/>
    <x v="2"/>
    <n v="12"/>
    <n v="309.91000000000003"/>
    <n v="3718.92"/>
  </r>
  <r>
    <s v="2024-01-06"/>
    <x v="7"/>
    <x v="5"/>
    <x v="1"/>
    <n v="15"/>
    <n v="1398.08"/>
    <n v="20971.199999999997"/>
  </r>
  <r>
    <s v="2024-12-26"/>
    <x v="10"/>
    <x v="5"/>
    <x v="1"/>
    <n v="7"/>
    <n v="1206.55"/>
    <n v="8445.85"/>
  </r>
  <r>
    <s v="2024-03-19"/>
    <x v="5"/>
    <x v="3"/>
    <x v="0"/>
    <n v="12"/>
    <n v="6.02"/>
    <n v="72.239999999999995"/>
  </r>
  <r>
    <s v="2024-12-30"/>
    <x v="10"/>
    <x v="5"/>
    <x v="1"/>
    <n v="6"/>
    <n v="529.03"/>
    <n v="3174.18"/>
  </r>
  <r>
    <s v="2024-05-25"/>
    <x v="3"/>
    <x v="2"/>
    <x v="1"/>
    <n v="1"/>
    <n v="481.3"/>
    <n v="481.3"/>
  </r>
  <r>
    <s v="2024-12-26"/>
    <x v="10"/>
    <x v="10"/>
    <x v="0"/>
    <n v="12"/>
    <n v="3.62"/>
    <n v="43.44"/>
  </r>
  <r>
    <s v="2024-11-19"/>
    <x v="9"/>
    <x v="4"/>
    <x v="2"/>
    <n v="9"/>
    <n v="883.02"/>
    <n v="7947.18"/>
  </r>
  <r>
    <s v="2024-09-24"/>
    <x v="0"/>
    <x v="10"/>
    <x v="0"/>
    <n v="10"/>
    <n v="2.79"/>
    <n v="27.9"/>
  </r>
  <r>
    <s v="2024-06-10"/>
    <x v="6"/>
    <x v="3"/>
    <x v="0"/>
    <n v="15"/>
    <n v="5.32"/>
    <n v="79.800000000000011"/>
  </r>
  <r>
    <s v="2024-04-22"/>
    <x v="1"/>
    <x v="0"/>
    <x v="0"/>
    <n v="11"/>
    <n v="47.59"/>
    <n v="523.49"/>
  </r>
  <r>
    <s v="2024-03-14"/>
    <x v="5"/>
    <x v="10"/>
    <x v="0"/>
    <n v="14"/>
    <n v="6.89"/>
    <n v="96.46"/>
  </r>
  <r>
    <s v="2024-02-28"/>
    <x v="4"/>
    <x v="3"/>
    <x v="0"/>
    <n v="13"/>
    <n v="4.8499999999999996"/>
    <n v="63.05"/>
  </r>
  <r>
    <s v="2024-04-03"/>
    <x v="1"/>
    <x v="7"/>
    <x v="0"/>
    <n v="12"/>
    <n v="208.05"/>
    <n v="2496.6000000000004"/>
  </r>
  <r>
    <s v="2024-06-28"/>
    <x v="6"/>
    <x v="1"/>
    <x v="0"/>
    <n v="12"/>
    <n v="58.34"/>
    <n v="700.08"/>
  </r>
  <r>
    <s v="2024-07-13"/>
    <x v="11"/>
    <x v="4"/>
    <x v="2"/>
    <n v="12"/>
    <n v="1357.34"/>
    <n v="16288.079999999998"/>
  </r>
  <r>
    <s v="2024-09-07"/>
    <x v="0"/>
    <x v="3"/>
    <x v="0"/>
    <n v="9"/>
    <n v="7.69"/>
    <n v="69.210000000000008"/>
  </r>
  <r>
    <s v="2024-11-21"/>
    <x v="9"/>
    <x v="0"/>
    <x v="0"/>
    <n v="2"/>
    <n v="22.69"/>
    <n v="45.38"/>
  </r>
  <r>
    <s v="2024-12-05"/>
    <x v="10"/>
    <x v="6"/>
    <x v="2"/>
    <n v="9"/>
    <n v="447.18"/>
    <n v="4024.62"/>
  </r>
  <r>
    <s v="2024-08-25"/>
    <x v="8"/>
    <x v="3"/>
    <x v="0"/>
    <n v="8"/>
    <n v="4.33"/>
    <n v="34.64"/>
  </r>
  <r>
    <s v="2024-08-12"/>
    <x v="8"/>
    <x v="4"/>
    <x v="2"/>
    <n v="6"/>
    <n v="925.76"/>
    <n v="5554.5599999999995"/>
  </r>
  <r>
    <s v="2024-10-26"/>
    <x v="2"/>
    <x v="0"/>
    <x v="0"/>
    <n v="5"/>
    <n v="66.83"/>
    <n v="334.15"/>
  </r>
  <r>
    <s v="2024-12-03"/>
    <x v="10"/>
    <x v="10"/>
    <x v="0"/>
    <n v="11"/>
    <n v="6.68"/>
    <n v="73.47999999999999"/>
  </r>
  <r>
    <s v="2024-08-12"/>
    <x v="8"/>
    <x v="1"/>
    <x v="0"/>
    <n v="1"/>
    <n v="76.84"/>
    <n v="76.84"/>
  </r>
  <r>
    <s v="2024-10-25"/>
    <x v="2"/>
    <x v="4"/>
    <x v="2"/>
    <n v="6"/>
    <n v="887.25"/>
    <n v="5323.5"/>
  </r>
  <r>
    <s v="2024-03-19"/>
    <x v="5"/>
    <x v="7"/>
    <x v="0"/>
    <n v="9"/>
    <n v="101.63"/>
    <n v="914.67"/>
  </r>
  <r>
    <s v="2024-08-17"/>
    <x v="8"/>
    <x v="6"/>
    <x v="2"/>
    <n v="15"/>
    <n v="967.97"/>
    <n v="14519.550000000001"/>
  </r>
  <r>
    <s v="2024-07-25"/>
    <x v="11"/>
    <x v="8"/>
    <x v="2"/>
    <n v="4"/>
    <n v="2267.56"/>
    <n v="9070.24"/>
  </r>
  <r>
    <s v="2024-08-21"/>
    <x v="8"/>
    <x v="9"/>
    <x v="2"/>
    <n v="4"/>
    <n v="630.16999999999996"/>
    <n v="2520.6799999999998"/>
  </r>
  <r>
    <s v="2024-07-18"/>
    <x v="11"/>
    <x v="0"/>
    <x v="0"/>
    <n v="5"/>
    <n v="43.57"/>
    <n v="217.85"/>
  </r>
  <r>
    <s v="2024-05-20"/>
    <x v="3"/>
    <x v="1"/>
    <x v="0"/>
    <n v="13"/>
    <n v="105.9"/>
    <n v="1376.7"/>
  </r>
  <r>
    <s v="2024-07-28"/>
    <x v="11"/>
    <x v="3"/>
    <x v="0"/>
    <n v="9"/>
    <n v="9.09"/>
    <n v="81.81"/>
  </r>
  <r>
    <s v="2024-09-05"/>
    <x v="0"/>
    <x v="2"/>
    <x v="1"/>
    <n v="4"/>
    <n v="521.88"/>
    <n v="2087.52"/>
  </r>
  <r>
    <s v="2024-10-21"/>
    <x v="2"/>
    <x v="0"/>
    <x v="0"/>
    <n v="9"/>
    <n v="75.42"/>
    <n v="678.78"/>
  </r>
  <r>
    <s v="2024-07-21"/>
    <x v="11"/>
    <x v="5"/>
    <x v="1"/>
    <n v="6"/>
    <n v="645.71"/>
    <n v="3874.26"/>
  </r>
  <r>
    <s v="2024-07-15"/>
    <x v="11"/>
    <x v="10"/>
    <x v="0"/>
    <n v="9"/>
    <n v="2.56"/>
    <n v="23.04"/>
  </r>
  <r>
    <s v="2024-04-18"/>
    <x v="1"/>
    <x v="9"/>
    <x v="2"/>
    <n v="10"/>
    <n v="1730.85"/>
    <n v="17308.5"/>
  </r>
  <r>
    <s v="2024-08-22"/>
    <x v="8"/>
    <x v="9"/>
    <x v="2"/>
    <n v="4"/>
    <n v="995.69"/>
    <n v="3982.76"/>
  </r>
  <r>
    <s v="2024-07-20"/>
    <x v="11"/>
    <x v="2"/>
    <x v="1"/>
    <n v="2"/>
    <n v="327.86"/>
    <n v="655.72"/>
  </r>
  <r>
    <s v="2024-11-12"/>
    <x v="9"/>
    <x v="2"/>
    <x v="1"/>
    <n v="8"/>
    <n v="175.52"/>
    <n v="1404.16"/>
  </r>
  <r>
    <s v="2024-02-10"/>
    <x v="4"/>
    <x v="0"/>
    <x v="0"/>
    <n v="6"/>
    <n v="62.61"/>
    <n v="375.65999999999997"/>
  </r>
  <r>
    <s v="2024-12-06"/>
    <x v="10"/>
    <x v="6"/>
    <x v="2"/>
    <n v="13"/>
    <n v="227.3"/>
    <n v="2954.9"/>
  </r>
  <r>
    <s v="2024-07-03"/>
    <x v="11"/>
    <x v="3"/>
    <x v="0"/>
    <n v="1"/>
    <n v="9.2899999999999991"/>
    <n v="9.2899999999999991"/>
  </r>
  <r>
    <s v="2024-09-05"/>
    <x v="0"/>
    <x v="9"/>
    <x v="2"/>
    <n v="10"/>
    <n v="960.1"/>
    <n v="9601"/>
  </r>
  <r>
    <s v="2024-04-13"/>
    <x v="1"/>
    <x v="6"/>
    <x v="2"/>
    <n v="2"/>
    <n v="1106.6400000000001"/>
    <n v="2213.2800000000002"/>
  </r>
  <r>
    <s v="2024-03-24"/>
    <x v="5"/>
    <x v="11"/>
    <x v="0"/>
    <n v="13"/>
    <n v="9.52"/>
    <n v="123.75999999999999"/>
  </r>
  <r>
    <s v="2024-06-30"/>
    <x v="6"/>
    <x v="7"/>
    <x v="0"/>
    <n v="10"/>
    <n v="171.81"/>
    <n v="1718.1"/>
  </r>
  <r>
    <s v="2024-11-19"/>
    <x v="9"/>
    <x v="2"/>
    <x v="1"/>
    <n v="15"/>
    <n v="380.85"/>
    <n v="5712.75"/>
  </r>
  <r>
    <s v="2024-03-24"/>
    <x v="5"/>
    <x v="11"/>
    <x v="0"/>
    <n v="14"/>
    <n v="10.19"/>
    <n v="142.66"/>
  </r>
  <r>
    <s v="2024-12-16"/>
    <x v="10"/>
    <x v="9"/>
    <x v="2"/>
    <n v="2"/>
    <n v="1499.93"/>
    <n v="2999.86"/>
  </r>
  <r>
    <s v="2024-10-15"/>
    <x v="2"/>
    <x v="0"/>
    <x v="0"/>
    <n v="3"/>
    <n v="78.02"/>
    <n v="234.06"/>
  </r>
  <r>
    <s v="2024-05-26"/>
    <x v="3"/>
    <x v="7"/>
    <x v="0"/>
    <n v="4"/>
    <n v="223.28"/>
    <n v="893.12"/>
  </r>
  <r>
    <s v="2024-12-13"/>
    <x v="10"/>
    <x v="10"/>
    <x v="0"/>
    <n v="12"/>
    <n v="6.6"/>
    <n v="79.199999999999989"/>
  </r>
  <r>
    <s v="2024-02-27"/>
    <x v="4"/>
    <x v="10"/>
    <x v="0"/>
    <n v="8"/>
    <n v="5.19"/>
    <n v="41.52"/>
  </r>
  <r>
    <s v="2024-10-03"/>
    <x v="2"/>
    <x v="6"/>
    <x v="2"/>
    <n v="10"/>
    <n v="968.22"/>
    <n v="9682.2000000000007"/>
  </r>
  <r>
    <s v="2024-10-23"/>
    <x v="2"/>
    <x v="5"/>
    <x v="1"/>
    <n v="6"/>
    <n v="1779.75"/>
    <n v="10678.5"/>
  </r>
  <r>
    <s v="2024-09-23"/>
    <x v="0"/>
    <x v="9"/>
    <x v="2"/>
    <n v="13"/>
    <n v="941.5"/>
    <n v="12239.5"/>
  </r>
  <r>
    <s v="2024-06-05"/>
    <x v="6"/>
    <x v="11"/>
    <x v="0"/>
    <n v="2"/>
    <n v="7.33"/>
    <n v="14.66"/>
  </r>
  <r>
    <s v="2024-03-26"/>
    <x v="5"/>
    <x v="2"/>
    <x v="1"/>
    <n v="2"/>
    <n v="291.52"/>
    <n v="583.04"/>
  </r>
  <r>
    <s v="2024-02-25"/>
    <x v="4"/>
    <x v="6"/>
    <x v="2"/>
    <n v="1"/>
    <n v="1010.87"/>
    <n v="1010.87"/>
  </r>
  <r>
    <s v="2024-05-14"/>
    <x v="3"/>
    <x v="7"/>
    <x v="0"/>
    <n v="7"/>
    <n v="160.41999999999999"/>
    <n v="1122.9399999999998"/>
  </r>
  <r>
    <s v="2024-05-14"/>
    <x v="3"/>
    <x v="3"/>
    <x v="0"/>
    <n v="7"/>
    <n v="5.72"/>
    <n v="40.04"/>
  </r>
  <r>
    <s v="2024-05-18"/>
    <x v="3"/>
    <x v="2"/>
    <x v="1"/>
    <n v="4"/>
    <n v="517.04999999999995"/>
    <n v="2068.1999999999998"/>
  </r>
  <r>
    <s v="2024-07-01"/>
    <x v="11"/>
    <x v="8"/>
    <x v="2"/>
    <n v="9"/>
    <n v="2270.2800000000002"/>
    <n v="20432.52"/>
  </r>
  <r>
    <s v="2024-06-23"/>
    <x v="6"/>
    <x v="7"/>
    <x v="0"/>
    <n v="5"/>
    <n v="190.73"/>
    <n v="953.65"/>
  </r>
  <r>
    <s v="2024-02-10"/>
    <x v="4"/>
    <x v="10"/>
    <x v="0"/>
    <n v="6"/>
    <n v="5.27"/>
    <n v="31.619999999999997"/>
  </r>
  <r>
    <s v="2024-05-14"/>
    <x v="3"/>
    <x v="9"/>
    <x v="2"/>
    <n v="2"/>
    <n v="481.82"/>
    <n v="963.64"/>
  </r>
  <r>
    <s v="2024-09-18"/>
    <x v="0"/>
    <x v="8"/>
    <x v="2"/>
    <n v="14"/>
    <n v="1715.62"/>
    <n v="24018.68"/>
  </r>
  <r>
    <s v="2024-07-25"/>
    <x v="11"/>
    <x v="1"/>
    <x v="0"/>
    <n v="3"/>
    <n v="63.87"/>
    <n v="191.60999999999999"/>
  </r>
  <r>
    <s v="2024-07-20"/>
    <x v="11"/>
    <x v="0"/>
    <x v="0"/>
    <n v="6"/>
    <n v="74.62"/>
    <n v="447.72"/>
  </r>
  <r>
    <s v="2024-01-24"/>
    <x v="7"/>
    <x v="5"/>
    <x v="1"/>
    <n v="13"/>
    <n v="907.55"/>
    <n v="11798.15"/>
  </r>
  <r>
    <s v="2024-05-13"/>
    <x v="3"/>
    <x v="7"/>
    <x v="0"/>
    <n v="3"/>
    <n v="140.12"/>
    <n v="420.36"/>
  </r>
  <r>
    <s v="2024-10-19"/>
    <x v="2"/>
    <x v="1"/>
    <x v="0"/>
    <n v="6"/>
    <n v="82.68"/>
    <n v="496.08000000000004"/>
  </r>
  <r>
    <s v="2024-06-08"/>
    <x v="6"/>
    <x v="1"/>
    <x v="0"/>
    <n v="7"/>
    <n v="53.96"/>
    <n v="377.72"/>
  </r>
  <r>
    <s v="2024-07-01"/>
    <x v="11"/>
    <x v="2"/>
    <x v="1"/>
    <n v="2"/>
    <n v="540.91999999999996"/>
    <n v="1081.8399999999999"/>
  </r>
  <r>
    <s v="2024-12-20"/>
    <x v="10"/>
    <x v="4"/>
    <x v="2"/>
    <n v="8"/>
    <n v="422.18"/>
    <n v="3377.44"/>
  </r>
  <r>
    <s v="2024-11-01"/>
    <x v="9"/>
    <x v="4"/>
    <x v="2"/>
    <n v="3"/>
    <n v="729.36"/>
    <n v="2188.08"/>
  </r>
  <r>
    <s v="2024-11-27"/>
    <x v="9"/>
    <x v="3"/>
    <x v="0"/>
    <n v="4"/>
    <n v="8.6199999999999992"/>
    <n v="34.479999999999997"/>
  </r>
  <r>
    <s v="2024-12-23"/>
    <x v="10"/>
    <x v="2"/>
    <x v="1"/>
    <n v="11"/>
    <n v="470.86"/>
    <n v="5179.46"/>
  </r>
  <r>
    <s v="2024-04-06"/>
    <x v="1"/>
    <x v="5"/>
    <x v="1"/>
    <n v="11"/>
    <n v="1964.45"/>
    <n v="21608.95"/>
  </r>
  <r>
    <s v="2024-12-20"/>
    <x v="10"/>
    <x v="5"/>
    <x v="1"/>
    <n v="4"/>
    <n v="1615.32"/>
    <n v="6461.28"/>
  </r>
  <r>
    <s v="2024-04-23"/>
    <x v="1"/>
    <x v="8"/>
    <x v="2"/>
    <n v="1"/>
    <n v="739.89"/>
    <n v="739.89"/>
  </r>
  <r>
    <s v="2024-09-26"/>
    <x v="0"/>
    <x v="11"/>
    <x v="0"/>
    <n v="11"/>
    <n v="7.9"/>
    <n v="86.9"/>
  </r>
  <r>
    <s v="2024-12-07"/>
    <x v="10"/>
    <x v="10"/>
    <x v="0"/>
    <n v="6"/>
    <n v="7.23"/>
    <n v="43.38"/>
  </r>
  <r>
    <s v="2024-08-07"/>
    <x v="8"/>
    <x v="2"/>
    <x v="1"/>
    <n v="4"/>
    <n v="547.02"/>
    <n v="2188.08"/>
  </r>
  <r>
    <s v="2024-02-17"/>
    <x v="4"/>
    <x v="1"/>
    <x v="0"/>
    <n v="3"/>
    <n v="71.36"/>
    <n v="214.07999999999998"/>
  </r>
  <r>
    <s v="2024-03-07"/>
    <x v="5"/>
    <x v="1"/>
    <x v="0"/>
    <n v="5"/>
    <n v="85.06"/>
    <n v="425.3"/>
  </r>
  <r>
    <s v="2024-01-29"/>
    <x v="7"/>
    <x v="2"/>
    <x v="1"/>
    <n v="5"/>
    <n v="161.22"/>
    <n v="806.1"/>
  </r>
  <r>
    <s v="2024-04-03"/>
    <x v="1"/>
    <x v="6"/>
    <x v="2"/>
    <n v="11"/>
    <n v="200.7"/>
    <n v="2207.6999999999998"/>
  </r>
  <r>
    <s v="2024-10-09"/>
    <x v="2"/>
    <x v="0"/>
    <x v="0"/>
    <n v="14"/>
    <n v="50.74"/>
    <n v="710.36"/>
  </r>
  <r>
    <s v="2024-05-01"/>
    <x v="3"/>
    <x v="9"/>
    <x v="2"/>
    <n v="11"/>
    <n v="1668.1"/>
    <n v="18349.099999999999"/>
  </r>
  <r>
    <s v="2024-03-12"/>
    <x v="5"/>
    <x v="10"/>
    <x v="0"/>
    <n v="4"/>
    <n v="4.92"/>
    <n v="19.68"/>
  </r>
  <r>
    <s v="2024-12-29"/>
    <x v="10"/>
    <x v="8"/>
    <x v="2"/>
    <n v="10"/>
    <n v="2245.67"/>
    <n v="22456.7"/>
  </r>
  <r>
    <s v="2024-11-06"/>
    <x v="9"/>
    <x v="2"/>
    <x v="1"/>
    <n v="11"/>
    <n v="539.42999999999995"/>
    <n v="5933.73"/>
  </r>
  <r>
    <s v="2024-10-16"/>
    <x v="2"/>
    <x v="2"/>
    <x v="1"/>
    <n v="14"/>
    <n v="348.53"/>
    <n v="4879.42"/>
  </r>
  <r>
    <s v="2024-05-26"/>
    <x v="3"/>
    <x v="3"/>
    <x v="0"/>
    <n v="7"/>
    <n v="3.94"/>
    <n v="27.58"/>
  </r>
  <r>
    <s v="2024-02-08"/>
    <x v="4"/>
    <x v="1"/>
    <x v="0"/>
    <n v="14"/>
    <n v="65.069999999999993"/>
    <n v="910.9799999999999"/>
  </r>
  <r>
    <s v="2024-08-31"/>
    <x v="8"/>
    <x v="3"/>
    <x v="0"/>
    <n v="12"/>
    <n v="3.76"/>
    <n v="45.12"/>
  </r>
  <r>
    <s v="2024-11-02"/>
    <x v="9"/>
    <x v="9"/>
    <x v="2"/>
    <n v="9"/>
    <n v="1553.52"/>
    <n v="13981.68"/>
  </r>
  <r>
    <s v="2024-06-28"/>
    <x v="6"/>
    <x v="10"/>
    <x v="0"/>
    <n v="4"/>
    <n v="2.71"/>
    <n v="10.84"/>
  </r>
  <r>
    <s v="2024-01-30"/>
    <x v="7"/>
    <x v="1"/>
    <x v="0"/>
    <n v="15"/>
    <n v="76.98"/>
    <n v="1154.7"/>
  </r>
  <r>
    <s v="2024-01-28"/>
    <x v="7"/>
    <x v="4"/>
    <x v="2"/>
    <n v="12"/>
    <n v="794.41"/>
    <n v="9532.92"/>
  </r>
  <r>
    <s v="2024-08-19"/>
    <x v="8"/>
    <x v="0"/>
    <x v="0"/>
    <n v="15"/>
    <n v="33.99"/>
    <n v="509.85"/>
  </r>
  <r>
    <s v="2024-03-14"/>
    <x v="5"/>
    <x v="3"/>
    <x v="0"/>
    <n v="14"/>
    <n v="8.5299999999999994"/>
    <n v="119.41999999999999"/>
  </r>
  <r>
    <s v="2024-02-20"/>
    <x v="4"/>
    <x v="11"/>
    <x v="0"/>
    <n v="9"/>
    <n v="8.39"/>
    <n v="75.510000000000005"/>
  </r>
  <r>
    <s v="2024-02-08"/>
    <x v="4"/>
    <x v="5"/>
    <x v="1"/>
    <n v="6"/>
    <n v="875.74"/>
    <n v="5254.4400000000005"/>
  </r>
  <r>
    <s v="2024-06-07"/>
    <x v="6"/>
    <x v="3"/>
    <x v="0"/>
    <n v="5"/>
    <n v="3.24"/>
    <n v="16.200000000000003"/>
  </r>
  <r>
    <s v="2024-05-31"/>
    <x v="3"/>
    <x v="11"/>
    <x v="0"/>
    <n v="5"/>
    <n v="12.11"/>
    <n v="60.55"/>
  </r>
  <r>
    <s v="2024-04-17"/>
    <x v="1"/>
    <x v="3"/>
    <x v="0"/>
    <n v="6"/>
    <n v="5.22"/>
    <n v="31.32"/>
  </r>
  <r>
    <s v="2024-11-19"/>
    <x v="9"/>
    <x v="3"/>
    <x v="0"/>
    <n v="15"/>
    <n v="4.1100000000000003"/>
    <n v="61.650000000000006"/>
  </r>
  <r>
    <s v="2024-12-14"/>
    <x v="10"/>
    <x v="10"/>
    <x v="0"/>
    <n v="12"/>
    <n v="7.19"/>
    <n v="86.28"/>
  </r>
  <r>
    <s v="2024-11-10"/>
    <x v="9"/>
    <x v="8"/>
    <x v="2"/>
    <n v="5"/>
    <n v="1609.04"/>
    <n v="8045.2"/>
  </r>
  <r>
    <s v="2024-08-27"/>
    <x v="8"/>
    <x v="6"/>
    <x v="2"/>
    <n v="14"/>
    <n v="914.94"/>
    <n v="12809.16"/>
  </r>
  <r>
    <s v="2024-11-06"/>
    <x v="9"/>
    <x v="7"/>
    <x v="0"/>
    <n v="13"/>
    <n v="102.79"/>
    <n v="1336.27"/>
  </r>
  <r>
    <s v="2024-11-17"/>
    <x v="9"/>
    <x v="7"/>
    <x v="0"/>
    <n v="3"/>
    <n v="246.62"/>
    <n v="739.86"/>
  </r>
  <r>
    <s v="2024-01-22"/>
    <x v="7"/>
    <x v="3"/>
    <x v="0"/>
    <n v="2"/>
    <n v="3.3"/>
    <n v="6.6"/>
  </r>
  <r>
    <s v="2024-10-10"/>
    <x v="2"/>
    <x v="11"/>
    <x v="0"/>
    <n v="6"/>
    <n v="19.52"/>
    <n v="117.12"/>
  </r>
  <r>
    <s v="2024-12-23"/>
    <x v="10"/>
    <x v="1"/>
    <x v="0"/>
    <n v="4"/>
    <n v="68"/>
    <n v="272"/>
  </r>
  <r>
    <s v="2024-01-13"/>
    <x v="7"/>
    <x v="2"/>
    <x v="1"/>
    <n v="12"/>
    <n v="262.19"/>
    <n v="3146.2799999999997"/>
  </r>
  <r>
    <s v="2024-04-25"/>
    <x v="1"/>
    <x v="1"/>
    <x v="0"/>
    <n v="5"/>
    <n v="98.67"/>
    <n v="493.35"/>
  </r>
  <r>
    <s v="2024-07-18"/>
    <x v="11"/>
    <x v="11"/>
    <x v="0"/>
    <n v="12"/>
    <n v="18.93"/>
    <n v="227.16"/>
  </r>
  <r>
    <s v="2024-09-13"/>
    <x v="0"/>
    <x v="7"/>
    <x v="0"/>
    <n v="8"/>
    <n v="127.22"/>
    <n v="1017.76"/>
  </r>
  <r>
    <s v="2024-01-12"/>
    <x v="7"/>
    <x v="10"/>
    <x v="0"/>
    <n v="5"/>
    <n v="6.18"/>
    <n v="30.9"/>
  </r>
  <r>
    <s v="2024-08-20"/>
    <x v="8"/>
    <x v="7"/>
    <x v="0"/>
    <n v="6"/>
    <n v="213.09"/>
    <n v="1278.54"/>
  </r>
  <r>
    <s v="2024-04-19"/>
    <x v="1"/>
    <x v="2"/>
    <x v="1"/>
    <n v="10"/>
    <n v="546.73"/>
    <n v="5467.3"/>
  </r>
  <r>
    <s v="2024-03-16"/>
    <x v="5"/>
    <x v="10"/>
    <x v="0"/>
    <n v="2"/>
    <n v="5.93"/>
    <n v="11.86"/>
  </r>
  <r>
    <s v="2024-06-19"/>
    <x v="6"/>
    <x v="9"/>
    <x v="2"/>
    <n v="5"/>
    <n v="585.75"/>
    <n v="2928.75"/>
  </r>
  <r>
    <s v="2024-12-21"/>
    <x v="10"/>
    <x v="5"/>
    <x v="1"/>
    <n v="2"/>
    <n v="1065.8599999999999"/>
    <n v="2131.7199999999998"/>
  </r>
  <r>
    <s v="2024-09-14"/>
    <x v="0"/>
    <x v="0"/>
    <x v="0"/>
    <n v="10"/>
    <n v="52.12"/>
    <n v="521.19999999999993"/>
  </r>
  <r>
    <s v="2024-10-04"/>
    <x v="2"/>
    <x v="0"/>
    <x v="0"/>
    <n v="2"/>
    <n v="33.799999999999997"/>
    <n v="67.599999999999994"/>
  </r>
  <r>
    <s v="2024-05-21"/>
    <x v="3"/>
    <x v="0"/>
    <x v="0"/>
    <n v="2"/>
    <n v="36.049999999999997"/>
    <n v="72.099999999999994"/>
  </r>
  <r>
    <s v="2024-12-31"/>
    <x v="10"/>
    <x v="4"/>
    <x v="2"/>
    <n v="10"/>
    <n v="788.37"/>
    <n v="7883.7"/>
  </r>
  <r>
    <s v="2024-06-28"/>
    <x v="6"/>
    <x v="9"/>
    <x v="2"/>
    <n v="12"/>
    <n v="594.25"/>
    <n v="7131"/>
  </r>
  <r>
    <s v="2024-10-20"/>
    <x v="2"/>
    <x v="9"/>
    <x v="2"/>
    <n v="13"/>
    <n v="984.57"/>
    <n v="12799.41"/>
  </r>
  <r>
    <s v="2024-06-19"/>
    <x v="6"/>
    <x v="6"/>
    <x v="2"/>
    <n v="1"/>
    <n v="802.86"/>
    <n v="802.86"/>
  </r>
  <r>
    <s v="2024-04-09"/>
    <x v="1"/>
    <x v="2"/>
    <x v="1"/>
    <n v="3"/>
    <n v="170.4"/>
    <n v="511.20000000000005"/>
  </r>
  <r>
    <s v="2024-08-16"/>
    <x v="8"/>
    <x v="6"/>
    <x v="2"/>
    <n v="3"/>
    <n v="469.11"/>
    <n v="1407.33"/>
  </r>
  <r>
    <s v="2024-09-27"/>
    <x v="0"/>
    <x v="0"/>
    <x v="0"/>
    <n v="14"/>
    <n v="76.83"/>
    <n v="1075.6199999999999"/>
  </r>
  <r>
    <s v="2024-03-13"/>
    <x v="5"/>
    <x v="4"/>
    <x v="2"/>
    <n v="12"/>
    <n v="688.43"/>
    <n v="8261.16"/>
  </r>
  <r>
    <s v="2024-04-01"/>
    <x v="1"/>
    <x v="7"/>
    <x v="0"/>
    <n v="15"/>
    <n v="113.19"/>
    <n v="1697.85"/>
  </r>
  <r>
    <s v="2024-02-19"/>
    <x v="4"/>
    <x v="11"/>
    <x v="0"/>
    <n v="4"/>
    <n v="11.97"/>
    <n v="47.88"/>
  </r>
  <r>
    <s v="2024-12-15"/>
    <x v="10"/>
    <x v="1"/>
    <x v="0"/>
    <n v="9"/>
    <n v="41.58"/>
    <n v="374.21999999999997"/>
  </r>
  <r>
    <s v="2024-06-29"/>
    <x v="6"/>
    <x v="1"/>
    <x v="0"/>
    <n v="6"/>
    <n v="100.85"/>
    <n v="605.09999999999991"/>
  </r>
  <r>
    <s v="2024-08-27"/>
    <x v="8"/>
    <x v="0"/>
    <x v="0"/>
    <n v="5"/>
    <n v="20.190000000000001"/>
    <n v="100.95"/>
  </r>
  <r>
    <s v="2024-09-14"/>
    <x v="0"/>
    <x v="7"/>
    <x v="0"/>
    <n v="6"/>
    <n v="224.57"/>
    <n v="1347.42"/>
  </r>
  <r>
    <s v="2024-05-17"/>
    <x v="3"/>
    <x v="10"/>
    <x v="0"/>
    <n v="1"/>
    <n v="6.5"/>
    <n v="6.5"/>
  </r>
  <r>
    <s v="2024-06-13"/>
    <x v="6"/>
    <x v="4"/>
    <x v="2"/>
    <n v="15"/>
    <n v="946.15"/>
    <n v="14192.25"/>
  </r>
  <r>
    <s v="2024-01-23"/>
    <x v="7"/>
    <x v="5"/>
    <x v="1"/>
    <n v="8"/>
    <n v="1380.16"/>
    <n v="11041.28"/>
  </r>
  <r>
    <s v="2024-06-06"/>
    <x v="6"/>
    <x v="8"/>
    <x v="2"/>
    <n v="6"/>
    <n v="1440.09"/>
    <n v="8640.5399999999991"/>
  </r>
  <r>
    <s v="2024-04-22"/>
    <x v="1"/>
    <x v="11"/>
    <x v="0"/>
    <n v="14"/>
    <n v="8.9"/>
    <n v="124.60000000000001"/>
  </r>
  <r>
    <s v="2024-10-14"/>
    <x v="2"/>
    <x v="6"/>
    <x v="2"/>
    <n v="9"/>
    <n v="722.34"/>
    <n v="6501.06"/>
  </r>
  <r>
    <s v="2024-01-15"/>
    <x v="7"/>
    <x v="6"/>
    <x v="2"/>
    <n v="4"/>
    <n v="338.45"/>
    <n v="1353.8"/>
  </r>
  <r>
    <s v="2024-08-16"/>
    <x v="8"/>
    <x v="4"/>
    <x v="2"/>
    <n v="5"/>
    <n v="1021.2"/>
    <n v="5106"/>
  </r>
  <r>
    <s v="2024-03-16"/>
    <x v="5"/>
    <x v="7"/>
    <x v="0"/>
    <n v="3"/>
    <n v="145.43"/>
    <n v="436.29"/>
  </r>
  <r>
    <s v="2024-11-16"/>
    <x v="9"/>
    <x v="0"/>
    <x v="0"/>
    <n v="7"/>
    <n v="64.66"/>
    <n v="452.62"/>
  </r>
  <r>
    <s v="2024-10-25"/>
    <x v="2"/>
    <x v="9"/>
    <x v="2"/>
    <n v="1"/>
    <n v="1655.42"/>
    <n v="1655.42"/>
  </r>
  <r>
    <s v="2024-11-21"/>
    <x v="9"/>
    <x v="2"/>
    <x v="1"/>
    <n v="10"/>
    <n v="150.16999999999999"/>
    <n v="1501.6999999999998"/>
  </r>
  <r>
    <s v="2024-12-17"/>
    <x v="10"/>
    <x v="11"/>
    <x v="0"/>
    <n v="7"/>
    <n v="19.170000000000002"/>
    <n v="134.19"/>
  </r>
  <r>
    <s v="2024-02-17"/>
    <x v="4"/>
    <x v="2"/>
    <x v="1"/>
    <n v="5"/>
    <n v="367.69"/>
    <n v="1838.45"/>
  </r>
  <r>
    <s v="2024-12-26"/>
    <x v="10"/>
    <x v="9"/>
    <x v="2"/>
    <n v="2"/>
    <n v="784.57"/>
    <n v="1569.14"/>
  </r>
  <r>
    <s v="2024-01-25"/>
    <x v="7"/>
    <x v="8"/>
    <x v="2"/>
    <n v="3"/>
    <n v="1051.6099999999999"/>
    <n v="3154.83"/>
  </r>
  <r>
    <s v="2024-09-18"/>
    <x v="0"/>
    <x v="0"/>
    <x v="0"/>
    <n v="11"/>
    <n v="23.01"/>
    <n v="253.11"/>
  </r>
  <r>
    <s v="2024-01-05"/>
    <x v="7"/>
    <x v="2"/>
    <x v="1"/>
    <n v="8"/>
    <n v="465.96"/>
    <n v="3727.68"/>
  </r>
  <r>
    <s v="2024-05-27"/>
    <x v="3"/>
    <x v="3"/>
    <x v="0"/>
    <n v="8"/>
    <n v="3.88"/>
    <n v="31.04"/>
  </r>
  <r>
    <s v="2024-09-11"/>
    <x v="0"/>
    <x v="11"/>
    <x v="0"/>
    <n v="7"/>
    <n v="9.2799999999999994"/>
    <n v="64.959999999999994"/>
  </r>
  <r>
    <s v="2024-11-09"/>
    <x v="9"/>
    <x v="10"/>
    <x v="0"/>
    <n v="9"/>
    <n v="7.47"/>
    <n v="67.23"/>
  </r>
  <r>
    <s v="2024-05-14"/>
    <x v="3"/>
    <x v="7"/>
    <x v="0"/>
    <n v="9"/>
    <n v="153.36000000000001"/>
    <n v="1380.2400000000002"/>
  </r>
  <r>
    <s v="2024-06-15"/>
    <x v="6"/>
    <x v="8"/>
    <x v="2"/>
    <n v="10"/>
    <n v="860.04"/>
    <n v="8600.4"/>
  </r>
  <r>
    <s v="2024-04-21"/>
    <x v="1"/>
    <x v="8"/>
    <x v="2"/>
    <n v="13"/>
    <n v="500.11"/>
    <n v="6501.43"/>
  </r>
  <r>
    <s v="2024-04-22"/>
    <x v="1"/>
    <x v="10"/>
    <x v="0"/>
    <n v="3"/>
    <n v="3.15"/>
    <n v="9.4499999999999993"/>
  </r>
  <r>
    <s v="2024-07-16"/>
    <x v="11"/>
    <x v="1"/>
    <x v="0"/>
    <n v="13"/>
    <n v="75.040000000000006"/>
    <n v="975.5200000000001"/>
  </r>
  <r>
    <s v="2024-03-30"/>
    <x v="5"/>
    <x v="1"/>
    <x v="0"/>
    <n v="15"/>
    <n v="62.88"/>
    <n v="943.2"/>
  </r>
  <r>
    <s v="2024-04-30"/>
    <x v="1"/>
    <x v="3"/>
    <x v="0"/>
    <n v="7"/>
    <n v="7.26"/>
    <n v="50.82"/>
  </r>
  <r>
    <s v="2024-03-30"/>
    <x v="5"/>
    <x v="2"/>
    <x v="1"/>
    <n v="12"/>
    <n v="547.59"/>
    <n v="6571.08"/>
  </r>
  <r>
    <s v="2024-08-23"/>
    <x v="8"/>
    <x v="2"/>
    <x v="1"/>
    <n v="14"/>
    <n v="183.25"/>
    <n v="2565.5"/>
  </r>
  <r>
    <s v="2024-04-28"/>
    <x v="1"/>
    <x v="1"/>
    <x v="0"/>
    <n v="12"/>
    <n v="90.77"/>
    <n v="1089.24"/>
  </r>
  <r>
    <s v="2024-08-08"/>
    <x v="8"/>
    <x v="1"/>
    <x v="0"/>
    <n v="4"/>
    <n v="69.47"/>
    <n v="277.88"/>
  </r>
  <r>
    <s v="2024-03-29"/>
    <x v="5"/>
    <x v="10"/>
    <x v="0"/>
    <n v="5"/>
    <n v="3.82"/>
    <n v="19.099999999999998"/>
  </r>
  <r>
    <s v="2024-12-23"/>
    <x v="10"/>
    <x v="8"/>
    <x v="2"/>
    <n v="6"/>
    <n v="1628.03"/>
    <n v="9768.18"/>
  </r>
  <r>
    <s v="2024-02-27"/>
    <x v="4"/>
    <x v="10"/>
    <x v="0"/>
    <n v="12"/>
    <n v="2.5299999999999998"/>
    <n v="30.36"/>
  </r>
  <r>
    <s v="2024-09-20"/>
    <x v="0"/>
    <x v="3"/>
    <x v="0"/>
    <n v="13"/>
    <n v="9.75"/>
    <n v="126.75"/>
  </r>
  <r>
    <s v="2024-08-02"/>
    <x v="8"/>
    <x v="8"/>
    <x v="2"/>
    <n v="11"/>
    <n v="1181.42"/>
    <n v="12995.62"/>
  </r>
  <r>
    <s v="2024-04-30"/>
    <x v="1"/>
    <x v="10"/>
    <x v="0"/>
    <n v="9"/>
    <n v="5.43"/>
    <n v="48.87"/>
  </r>
  <r>
    <s v="2024-01-14"/>
    <x v="7"/>
    <x v="4"/>
    <x v="2"/>
    <n v="6"/>
    <n v="1053.55"/>
    <n v="6321.2999999999993"/>
  </r>
  <r>
    <s v="2024-06-15"/>
    <x v="6"/>
    <x v="7"/>
    <x v="0"/>
    <n v="8"/>
    <n v="221.9"/>
    <n v="1775.2"/>
  </r>
  <r>
    <s v="2024-01-20"/>
    <x v="7"/>
    <x v="7"/>
    <x v="0"/>
    <n v="7"/>
    <n v="156.01"/>
    <n v="1092.07"/>
  </r>
  <r>
    <s v="2024-05-18"/>
    <x v="3"/>
    <x v="0"/>
    <x v="0"/>
    <n v="8"/>
    <n v="79.7"/>
    <n v="637.6"/>
  </r>
  <r>
    <s v="2024-06-07"/>
    <x v="6"/>
    <x v="4"/>
    <x v="2"/>
    <n v="6"/>
    <n v="1107.9000000000001"/>
    <n v="6647.4000000000005"/>
  </r>
  <r>
    <s v="2024-05-15"/>
    <x v="3"/>
    <x v="0"/>
    <x v="0"/>
    <n v="6"/>
    <n v="62.77"/>
    <n v="376.62"/>
  </r>
  <r>
    <s v="2024-09-10"/>
    <x v="0"/>
    <x v="8"/>
    <x v="2"/>
    <n v="2"/>
    <n v="2128.46"/>
    <n v="4256.92"/>
  </r>
  <r>
    <s v="2024-05-02"/>
    <x v="3"/>
    <x v="10"/>
    <x v="0"/>
    <n v="7"/>
    <n v="4.49"/>
    <n v="31.43"/>
  </r>
  <r>
    <s v="2024-10-21"/>
    <x v="2"/>
    <x v="7"/>
    <x v="0"/>
    <n v="6"/>
    <n v="187.56"/>
    <n v="1125.3600000000001"/>
  </r>
  <r>
    <s v="2024-01-17"/>
    <x v="7"/>
    <x v="3"/>
    <x v="0"/>
    <n v="4"/>
    <n v="8.89"/>
    <n v="35.56"/>
  </r>
  <r>
    <s v="2024-07-18"/>
    <x v="11"/>
    <x v="8"/>
    <x v="2"/>
    <n v="8"/>
    <n v="1624.4"/>
    <n v="12995.2"/>
  </r>
  <r>
    <s v="2024-08-05"/>
    <x v="8"/>
    <x v="11"/>
    <x v="0"/>
    <n v="6"/>
    <n v="9.1999999999999993"/>
    <n v="55.199999999999996"/>
  </r>
  <r>
    <s v="2024-02-09"/>
    <x v="4"/>
    <x v="2"/>
    <x v="1"/>
    <n v="3"/>
    <n v="332.26"/>
    <n v="996.78"/>
  </r>
  <r>
    <s v="2024-01-10"/>
    <x v="7"/>
    <x v="11"/>
    <x v="0"/>
    <n v="5"/>
    <n v="14.28"/>
    <n v="71.399999999999991"/>
  </r>
  <r>
    <s v="2024-12-26"/>
    <x v="10"/>
    <x v="2"/>
    <x v="1"/>
    <n v="8"/>
    <n v="314.39999999999998"/>
    <n v="2515.1999999999998"/>
  </r>
  <r>
    <s v="2024-04-27"/>
    <x v="1"/>
    <x v="2"/>
    <x v="1"/>
    <n v="13"/>
    <n v="590.94000000000005"/>
    <n v="7682.2200000000012"/>
  </r>
  <r>
    <s v="2024-10-19"/>
    <x v="2"/>
    <x v="11"/>
    <x v="0"/>
    <n v="2"/>
    <n v="13.17"/>
    <n v="26.34"/>
  </r>
  <r>
    <s v="2024-10-12"/>
    <x v="2"/>
    <x v="1"/>
    <x v="0"/>
    <n v="7"/>
    <n v="56.53"/>
    <n v="395.71000000000004"/>
  </r>
  <r>
    <s v="2024-07-26"/>
    <x v="11"/>
    <x v="5"/>
    <x v="1"/>
    <n v="9"/>
    <n v="1856.02"/>
    <n v="16704.18"/>
  </r>
  <r>
    <s v="2024-11-28"/>
    <x v="9"/>
    <x v="7"/>
    <x v="0"/>
    <n v="14"/>
    <n v="91.26"/>
    <n v="1277.6400000000001"/>
  </r>
  <r>
    <s v="2024-05-21"/>
    <x v="3"/>
    <x v="1"/>
    <x v="0"/>
    <n v="3"/>
    <n v="119.34"/>
    <n v="358.02"/>
  </r>
  <r>
    <s v="2024-12-22"/>
    <x v="10"/>
    <x v="4"/>
    <x v="2"/>
    <n v="7"/>
    <n v="911.78"/>
    <n v="6382.46"/>
  </r>
  <r>
    <s v="2024-02-23"/>
    <x v="4"/>
    <x v="3"/>
    <x v="0"/>
    <n v="7"/>
    <n v="6.86"/>
    <n v="48.02"/>
  </r>
  <r>
    <s v="2024-08-01"/>
    <x v="8"/>
    <x v="4"/>
    <x v="2"/>
    <n v="14"/>
    <n v="1460.94"/>
    <n v="20453.16"/>
  </r>
  <r>
    <s v="2024-05-10"/>
    <x v="3"/>
    <x v="5"/>
    <x v="1"/>
    <n v="3"/>
    <n v="1121.6600000000001"/>
    <n v="3364.9800000000005"/>
  </r>
  <r>
    <s v="2024-10-09"/>
    <x v="2"/>
    <x v="8"/>
    <x v="2"/>
    <n v="2"/>
    <n v="1699.85"/>
    <n v="3399.7"/>
  </r>
  <r>
    <s v="2024-07-08"/>
    <x v="11"/>
    <x v="3"/>
    <x v="0"/>
    <n v="12"/>
    <n v="3.79"/>
    <n v="45.480000000000004"/>
  </r>
  <r>
    <s v="2024-01-18"/>
    <x v="7"/>
    <x v="1"/>
    <x v="0"/>
    <n v="5"/>
    <n v="83.37"/>
    <n v="416.85"/>
  </r>
  <r>
    <s v="2024-05-06"/>
    <x v="3"/>
    <x v="5"/>
    <x v="1"/>
    <n v="5"/>
    <n v="929.31"/>
    <n v="4646.5499999999993"/>
  </r>
  <r>
    <s v="2024-02-12"/>
    <x v="4"/>
    <x v="4"/>
    <x v="2"/>
    <n v="11"/>
    <n v="377.65"/>
    <n v="4154.1499999999996"/>
  </r>
  <r>
    <s v="2024-04-22"/>
    <x v="1"/>
    <x v="7"/>
    <x v="0"/>
    <n v="1"/>
    <n v="141.36000000000001"/>
    <n v="141.36000000000001"/>
  </r>
  <r>
    <s v="2024-06-06"/>
    <x v="6"/>
    <x v="7"/>
    <x v="0"/>
    <n v="9"/>
    <n v="155.52000000000001"/>
    <n v="1399.68"/>
  </r>
  <r>
    <s v="2024-03-18"/>
    <x v="5"/>
    <x v="2"/>
    <x v="1"/>
    <n v="8"/>
    <n v="326.74"/>
    <n v="2613.92"/>
  </r>
  <r>
    <s v="2024-03-30"/>
    <x v="5"/>
    <x v="2"/>
    <x v="1"/>
    <n v="7"/>
    <n v="207.03"/>
    <n v="1449.21"/>
  </r>
  <r>
    <s v="2024-04-17"/>
    <x v="1"/>
    <x v="7"/>
    <x v="0"/>
    <n v="11"/>
    <n v="160.57"/>
    <n v="1766.27"/>
  </r>
  <r>
    <s v="2024-03-13"/>
    <x v="5"/>
    <x v="10"/>
    <x v="0"/>
    <n v="8"/>
    <n v="7.84"/>
    <n v="62.72"/>
  </r>
  <r>
    <s v="2024-07-25"/>
    <x v="11"/>
    <x v="8"/>
    <x v="2"/>
    <n v="2"/>
    <n v="1242.08"/>
    <n v="2484.16"/>
  </r>
  <r>
    <s v="2024-11-24"/>
    <x v="9"/>
    <x v="5"/>
    <x v="1"/>
    <n v="8"/>
    <n v="959.03"/>
    <n v="7672.24"/>
  </r>
  <r>
    <s v="2024-01-28"/>
    <x v="7"/>
    <x v="0"/>
    <x v="0"/>
    <n v="14"/>
    <n v="52.73"/>
    <n v="738.21999999999991"/>
  </r>
  <r>
    <s v="2024-04-21"/>
    <x v="1"/>
    <x v="9"/>
    <x v="2"/>
    <n v="14"/>
    <n v="1391.95"/>
    <n v="19487.3"/>
  </r>
  <r>
    <s v="2024-11-23"/>
    <x v="9"/>
    <x v="6"/>
    <x v="2"/>
    <n v="14"/>
    <n v="559.65"/>
    <n v="7835.0999999999995"/>
  </r>
  <r>
    <s v="2024-04-04"/>
    <x v="1"/>
    <x v="1"/>
    <x v="0"/>
    <n v="4"/>
    <n v="43.99"/>
    <n v="175.96"/>
  </r>
  <r>
    <s v="2024-08-06"/>
    <x v="8"/>
    <x v="11"/>
    <x v="0"/>
    <n v="2"/>
    <n v="7.53"/>
    <n v="15.06"/>
  </r>
  <r>
    <s v="2024-02-21"/>
    <x v="4"/>
    <x v="7"/>
    <x v="0"/>
    <n v="13"/>
    <n v="86.3"/>
    <n v="1121.8999999999999"/>
  </r>
  <r>
    <s v="2024-03-30"/>
    <x v="5"/>
    <x v="7"/>
    <x v="0"/>
    <n v="5"/>
    <n v="235.12"/>
    <n v="1175.5999999999999"/>
  </r>
  <r>
    <s v="2024-07-15"/>
    <x v="11"/>
    <x v="4"/>
    <x v="2"/>
    <n v="2"/>
    <n v="252.14"/>
    <n v="504.28"/>
  </r>
  <r>
    <s v="2024-08-21"/>
    <x v="8"/>
    <x v="10"/>
    <x v="0"/>
    <n v="9"/>
    <n v="5.89"/>
    <n v="53.01"/>
  </r>
  <r>
    <s v="2024-01-17"/>
    <x v="7"/>
    <x v="2"/>
    <x v="1"/>
    <n v="5"/>
    <n v="426.53"/>
    <n v="2132.6499999999996"/>
  </r>
  <r>
    <s v="2024-07-12"/>
    <x v="11"/>
    <x v="5"/>
    <x v="1"/>
    <n v="7"/>
    <n v="1176.18"/>
    <n v="8233.26"/>
  </r>
  <r>
    <s v="2024-08-14"/>
    <x v="8"/>
    <x v="8"/>
    <x v="2"/>
    <n v="1"/>
    <n v="1948.5"/>
    <n v="1948.5"/>
  </r>
  <r>
    <s v="2024-10-05"/>
    <x v="2"/>
    <x v="1"/>
    <x v="0"/>
    <n v="4"/>
    <n v="104.13"/>
    <n v="416.52"/>
  </r>
  <r>
    <s v="2024-11-11"/>
    <x v="9"/>
    <x v="11"/>
    <x v="0"/>
    <n v="15"/>
    <n v="14.43"/>
    <n v="216.45"/>
  </r>
  <r>
    <s v="2024-08-14"/>
    <x v="8"/>
    <x v="10"/>
    <x v="0"/>
    <n v="6"/>
    <n v="3.91"/>
    <n v="23.46"/>
  </r>
  <r>
    <s v="2024-09-15"/>
    <x v="0"/>
    <x v="9"/>
    <x v="2"/>
    <n v="10"/>
    <n v="1100.44"/>
    <n v="11004.400000000001"/>
  </r>
  <r>
    <s v="2024-07-30"/>
    <x v="11"/>
    <x v="10"/>
    <x v="0"/>
    <n v="2"/>
    <n v="2.64"/>
    <n v="5.28"/>
  </r>
  <r>
    <s v="2024-06-01"/>
    <x v="6"/>
    <x v="0"/>
    <x v="0"/>
    <n v="12"/>
    <n v="63.68"/>
    <n v="764.16"/>
  </r>
  <r>
    <s v="2024-11-27"/>
    <x v="9"/>
    <x v="9"/>
    <x v="2"/>
    <n v="15"/>
    <n v="1406.94"/>
    <n v="21104.100000000002"/>
  </r>
  <r>
    <s v="2024-05-21"/>
    <x v="3"/>
    <x v="0"/>
    <x v="0"/>
    <n v="7"/>
    <n v="34.22"/>
    <n v="239.54"/>
  </r>
  <r>
    <s v="2024-07-16"/>
    <x v="11"/>
    <x v="3"/>
    <x v="0"/>
    <n v="5"/>
    <n v="7.79"/>
    <n v="38.950000000000003"/>
  </r>
  <r>
    <s v="2024-03-06"/>
    <x v="5"/>
    <x v="10"/>
    <x v="0"/>
    <n v="14"/>
    <n v="5.78"/>
    <n v="80.92"/>
  </r>
  <r>
    <s v="2024-05-01"/>
    <x v="3"/>
    <x v="11"/>
    <x v="0"/>
    <n v="7"/>
    <n v="11.44"/>
    <n v="80.08"/>
  </r>
  <r>
    <s v="2024-11-25"/>
    <x v="9"/>
    <x v="5"/>
    <x v="1"/>
    <n v="13"/>
    <n v="1970.84"/>
    <n v="25620.92"/>
  </r>
  <r>
    <s v="2024-04-23"/>
    <x v="1"/>
    <x v="10"/>
    <x v="0"/>
    <n v="2"/>
    <n v="4.1399999999999997"/>
    <n v="8.2799999999999994"/>
  </r>
  <r>
    <s v="2024-01-03"/>
    <x v="7"/>
    <x v="9"/>
    <x v="2"/>
    <n v="3"/>
    <n v="656.57"/>
    <n v="1969.71"/>
  </r>
  <r>
    <s v="2024-07-23"/>
    <x v="11"/>
    <x v="2"/>
    <x v="1"/>
    <n v="8"/>
    <n v="428.39"/>
    <n v="3427.12"/>
  </r>
  <r>
    <s v="2024-02-17"/>
    <x v="4"/>
    <x v="11"/>
    <x v="0"/>
    <n v="2"/>
    <n v="6.57"/>
    <n v="13.14"/>
  </r>
  <r>
    <s v="2024-09-29"/>
    <x v="0"/>
    <x v="6"/>
    <x v="2"/>
    <n v="9"/>
    <n v="723.77"/>
    <n v="6513.93"/>
  </r>
  <r>
    <s v="2024-05-30"/>
    <x v="3"/>
    <x v="2"/>
    <x v="1"/>
    <n v="2"/>
    <n v="241.6"/>
    <n v="483.2"/>
  </r>
  <r>
    <s v="2024-03-07"/>
    <x v="5"/>
    <x v="7"/>
    <x v="0"/>
    <n v="8"/>
    <n v="163.07"/>
    <n v="1304.56"/>
  </r>
  <r>
    <s v="2024-11-09"/>
    <x v="9"/>
    <x v="3"/>
    <x v="0"/>
    <n v="12"/>
    <n v="8.58"/>
    <n v="102.96000000000001"/>
  </r>
  <r>
    <s v="2024-08-13"/>
    <x v="8"/>
    <x v="11"/>
    <x v="0"/>
    <n v="12"/>
    <n v="5.29"/>
    <n v="63.480000000000004"/>
  </r>
  <r>
    <s v="2024-10-20"/>
    <x v="2"/>
    <x v="9"/>
    <x v="2"/>
    <n v="5"/>
    <n v="1331.89"/>
    <n v="6659.4500000000007"/>
  </r>
  <r>
    <s v="2024-06-10"/>
    <x v="6"/>
    <x v="0"/>
    <x v="0"/>
    <n v="2"/>
    <n v="74.12"/>
    <n v="148.24"/>
  </r>
  <r>
    <s v="2024-02-10"/>
    <x v="4"/>
    <x v="6"/>
    <x v="2"/>
    <n v="9"/>
    <n v="480.41"/>
    <n v="4323.6900000000005"/>
  </r>
  <r>
    <s v="2024-08-19"/>
    <x v="8"/>
    <x v="7"/>
    <x v="0"/>
    <n v="12"/>
    <n v="80.959999999999994"/>
    <n v="971.52"/>
  </r>
  <r>
    <s v="2024-03-26"/>
    <x v="5"/>
    <x v="9"/>
    <x v="2"/>
    <n v="9"/>
    <n v="747.44"/>
    <n v="6726.9600000000009"/>
  </r>
  <r>
    <s v="2024-02-22"/>
    <x v="4"/>
    <x v="11"/>
    <x v="0"/>
    <n v="5"/>
    <n v="12.93"/>
    <n v="64.650000000000006"/>
  </r>
  <r>
    <s v="2024-06-18"/>
    <x v="6"/>
    <x v="7"/>
    <x v="0"/>
    <n v="13"/>
    <n v="200.81"/>
    <n v="2610.5300000000002"/>
  </r>
  <r>
    <s v="2024-09-21"/>
    <x v="0"/>
    <x v="3"/>
    <x v="0"/>
    <n v="3"/>
    <n v="4.24"/>
    <n v="12.72"/>
  </r>
  <r>
    <s v="2024-06-27"/>
    <x v="6"/>
    <x v="4"/>
    <x v="2"/>
    <n v="3"/>
    <n v="1267.6199999999999"/>
    <n v="3802.8599999999997"/>
  </r>
  <r>
    <s v="2024-12-04"/>
    <x v="10"/>
    <x v="0"/>
    <x v="0"/>
    <n v="6"/>
    <n v="40.83"/>
    <n v="244.98"/>
  </r>
  <r>
    <s v="2024-09-30"/>
    <x v="0"/>
    <x v="8"/>
    <x v="2"/>
    <n v="4"/>
    <n v="1412.95"/>
    <n v="5651.8"/>
  </r>
  <r>
    <s v="2024-04-03"/>
    <x v="1"/>
    <x v="9"/>
    <x v="2"/>
    <n v="2"/>
    <n v="920.59"/>
    <n v="1841.18"/>
  </r>
  <r>
    <s v="2024-08-10"/>
    <x v="8"/>
    <x v="9"/>
    <x v="2"/>
    <n v="13"/>
    <n v="719.85"/>
    <n v="9358.0500000000011"/>
  </r>
  <r>
    <s v="2024-06-09"/>
    <x v="6"/>
    <x v="10"/>
    <x v="0"/>
    <n v="9"/>
    <n v="3.01"/>
    <n v="27.089999999999996"/>
  </r>
  <r>
    <s v="2024-10-12"/>
    <x v="2"/>
    <x v="2"/>
    <x v="1"/>
    <n v="7"/>
    <n v="409.18"/>
    <n v="2864.26"/>
  </r>
  <r>
    <s v="2024-02-03"/>
    <x v="4"/>
    <x v="4"/>
    <x v="2"/>
    <n v="1"/>
    <n v="320.74"/>
    <n v="320.74"/>
  </r>
  <r>
    <s v="2024-12-27"/>
    <x v="10"/>
    <x v="11"/>
    <x v="0"/>
    <n v="5"/>
    <n v="16.11"/>
    <n v="80.55"/>
  </r>
  <r>
    <s v="2024-10-17"/>
    <x v="2"/>
    <x v="6"/>
    <x v="2"/>
    <n v="10"/>
    <n v="823.92"/>
    <n v="8239.1999999999989"/>
  </r>
  <r>
    <s v="2024-08-10"/>
    <x v="8"/>
    <x v="11"/>
    <x v="0"/>
    <n v="2"/>
    <n v="18.89"/>
    <n v="37.78"/>
  </r>
  <r>
    <s v="2024-10-08"/>
    <x v="2"/>
    <x v="10"/>
    <x v="0"/>
    <n v="9"/>
    <n v="5.76"/>
    <n v="51.839999999999996"/>
  </r>
  <r>
    <s v="2024-03-03"/>
    <x v="5"/>
    <x v="3"/>
    <x v="0"/>
    <n v="7"/>
    <n v="8.56"/>
    <n v="59.92"/>
  </r>
  <r>
    <s v="2024-11-18"/>
    <x v="9"/>
    <x v="8"/>
    <x v="2"/>
    <n v="12"/>
    <n v="1055.21"/>
    <n v="12662.52"/>
  </r>
  <r>
    <s v="2024-03-12"/>
    <x v="5"/>
    <x v="4"/>
    <x v="2"/>
    <n v="3"/>
    <n v="763.17"/>
    <n v="2289.5099999999998"/>
  </r>
  <r>
    <s v="2024-04-28"/>
    <x v="1"/>
    <x v="9"/>
    <x v="2"/>
    <n v="15"/>
    <n v="1050.3399999999999"/>
    <n v="15755.099999999999"/>
  </r>
  <r>
    <s v="2024-04-27"/>
    <x v="1"/>
    <x v="5"/>
    <x v="1"/>
    <n v="11"/>
    <n v="1552.76"/>
    <n v="17080.36"/>
  </r>
  <r>
    <s v="2024-01-11"/>
    <x v="7"/>
    <x v="9"/>
    <x v="2"/>
    <n v="4"/>
    <n v="928.17"/>
    <n v="3712.68"/>
  </r>
  <r>
    <s v="2024-12-13"/>
    <x v="10"/>
    <x v="7"/>
    <x v="0"/>
    <n v="15"/>
    <n v="163.92"/>
    <n v="2458.7999999999997"/>
  </r>
  <r>
    <s v="2024-06-11"/>
    <x v="6"/>
    <x v="2"/>
    <x v="1"/>
    <n v="8"/>
    <n v="256.68"/>
    <n v="2053.44"/>
  </r>
  <r>
    <s v="2024-02-22"/>
    <x v="4"/>
    <x v="2"/>
    <x v="1"/>
    <n v="5"/>
    <n v="343.43"/>
    <n v="1717.15"/>
  </r>
  <r>
    <s v="2024-08-06"/>
    <x v="8"/>
    <x v="8"/>
    <x v="2"/>
    <n v="5"/>
    <n v="2055.71"/>
    <n v="10278.549999999999"/>
  </r>
  <r>
    <s v="2024-02-29"/>
    <x v="4"/>
    <x v="0"/>
    <x v="0"/>
    <n v="15"/>
    <n v="26.04"/>
    <n v="390.59999999999997"/>
  </r>
  <r>
    <s v="2024-12-24"/>
    <x v="10"/>
    <x v="1"/>
    <x v="0"/>
    <n v="8"/>
    <n v="72.8"/>
    <n v="582.4"/>
  </r>
  <r>
    <s v="2024-07-21"/>
    <x v="11"/>
    <x v="0"/>
    <x v="0"/>
    <n v="2"/>
    <n v="22.33"/>
    <n v="44.66"/>
  </r>
  <r>
    <s v="2024-01-31"/>
    <x v="7"/>
    <x v="7"/>
    <x v="0"/>
    <n v="15"/>
    <n v="188.96"/>
    <n v="2834.4"/>
  </r>
  <r>
    <s v="2024-04-13"/>
    <x v="1"/>
    <x v="8"/>
    <x v="2"/>
    <n v="11"/>
    <n v="1077.3599999999999"/>
    <n v="11850.96"/>
  </r>
  <r>
    <s v="2024-03-05"/>
    <x v="5"/>
    <x v="9"/>
    <x v="2"/>
    <n v="9"/>
    <n v="799.31"/>
    <n v="7193.7899999999991"/>
  </r>
  <r>
    <s v="2024-10-31"/>
    <x v="2"/>
    <x v="4"/>
    <x v="2"/>
    <n v="1"/>
    <n v="825.86"/>
    <n v="825.86"/>
  </r>
  <r>
    <s v="2024-05-13"/>
    <x v="3"/>
    <x v="2"/>
    <x v="1"/>
    <n v="15"/>
    <n v="185.61"/>
    <n v="2784.15"/>
  </r>
  <r>
    <s v="2024-03-04"/>
    <x v="5"/>
    <x v="9"/>
    <x v="2"/>
    <n v="11"/>
    <n v="789.39"/>
    <n v="8683.2899999999991"/>
  </r>
  <r>
    <s v="2024-04-11"/>
    <x v="1"/>
    <x v="3"/>
    <x v="0"/>
    <n v="10"/>
    <n v="7.74"/>
    <n v="77.400000000000006"/>
  </r>
  <r>
    <s v="2024-07-16"/>
    <x v="11"/>
    <x v="0"/>
    <x v="0"/>
    <n v="5"/>
    <n v="77.17"/>
    <n v="385.85"/>
  </r>
  <r>
    <s v="2024-06-05"/>
    <x v="6"/>
    <x v="4"/>
    <x v="2"/>
    <n v="3"/>
    <n v="358.73"/>
    <n v="1076.19"/>
  </r>
  <r>
    <s v="2024-01-07"/>
    <x v="7"/>
    <x v="2"/>
    <x v="1"/>
    <n v="15"/>
    <n v="542.63"/>
    <n v="8139.45"/>
  </r>
  <r>
    <s v="2024-06-11"/>
    <x v="6"/>
    <x v="1"/>
    <x v="0"/>
    <n v="9"/>
    <n v="81.81"/>
    <n v="736.29"/>
  </r>
  <r>
    <s v="2024-08-09"/>
    <x v="8"/>
    <x v="5"/>
    <x v="1"/>
    <n v="10"/>
    <n v="1893.84"/>
    <n v="18938.399999999998"/>
  </r>
  <r>
    <s v="2024-06-12"/>
    <x v="6"/>
    <x v="3"/>
    <x v="0"/>
    <n v="4"/>
    <n v="9.99"/>
    <n v="39.96"/>
  </r>
  <r>
    <s v="2024-04-05"/>
    <x v="1"/>
    <x v="1"/>
    <x v="0"/>
    <n v="2"/>
    <n v="69.53"/>
    <n v="139.06"/>
  </r>
  <r>
    <s v="2024-12-25"/>
    <x v="10"/>
    <x v="6"/>
    <x v="2"/>
    <n v="9"/>
    <n v="448.32"/>
    <n v="4034.88"/>
  </r>
  <r>
    <s v="2024-10-11"/>
    <x v="2"/>
    <x v="10"/>
    <x v="0"/>
    <n v="11"/>
    <n v="4.18"/>
    <n v="45.98"/>
  </r>
  <r>
    <s v="2024-06-21"/>
    <x v="6"/>
    <x v="11"/>
    <x v="0"/>
    <n v="12"/>
    <n v="11.7"/>
    <n v="140.39999999999998"/>
  </r>
  <r>
    <s v="2024-08-09"/>
    <x v="8"/>
    <x v="8"/>
    <x v="2"/>
    <n v="3"/>
    <n v="1948.17"/>
    <n v="5844.51"/>
  </r>
  <r>
    <s v="2024-06-04"/>
    <x v="6"/>
    <x v="3"/>
    <x v="0"/>
    <n v="12"/>
    <n v="8.6199999999999992"/>
    <n v="103.44"/>
  </r>
  <r>
    <s v="2024-07-30"/>
    <x v="11"/>
    <x v="2"/>
    <x v="1"/>
    <n v="9"/>
    <n v="182.1"/>
    <n v="1638.8999999999999"/>
  </r>
  <r>
    <s v="2024-04-14"/>
    <x v="1"/>
    <x v="1"/>
    <x v="0"/>
    <n v="12"/>
    <n v="49.9"/>
    <n v="598.79999999999995"/>
  </r>
  <r>
    <s v="2024-11-13"/>
    <x v="9"/>
    <x v="4"/>
    <x v="2"/>
    <n v="6"/>
    <n v="445.27"/>
    <n v="2671.62"/>
  </r>
  <r>
    <s v="2024-01-15"/>
    <x v="7"/>
    <x v="10"/>
    <x v="0"/>
    <n v="2"/>
    <n v="2.78"/>
    <n v="5.56"/>
  </r>
  <r>
    <s v="2024-07-25"/>
    <x v="11"/>
    <x v="1"/>
    <x v="0"/>
    <n v="7"/>
    <n v="59.84"/>
    <n v="418.88"/>
  </r>
  <r>
    <s v="2024-10-13"/>
    <x v="2"/>
    <x v="10"/>
    <x v="0"/>
    <n v="9"/>
    <n v="5.0599999999999996"/>
    <n v="45.54"/>
  </r>
  <r>
    <s v="2024-02-06"/>
    <x v="4"/>
    <x v="4"/>
    <x v="2"/>
    <n v="12"/>
    <n v="508.87"/>
    <n v="6106.4400000000005"/>
  </r>
  <r>
    <s v="2024-07-10"/>
    <x v="11"/>
    <x v="10"/>
    <x v="0"/>
    <n v="10"/>
    <n v="6.77"/>
    <n v="67.699999999999989"/>
  </r>
  <r>
    <s v="2024-02-27"/>
    <x v="4"/>
    <x v="8"/>
    <x v="2"/>
    <n v="1"/>
    <n v="1061.3599999999999"/>
    <n v="1061.3599999999999"/>
  </r>
  <r>
    <s v="2024-03-25"/>
    <x v="5"/>
    <x v="6"/>
    <x v="2"/>
    <n v="13"/>
    <n v="557.92999999999995"/>
    <n v="7253.0899999999992"/>
  </r>
  <r>
    <s v="2024-08-11"/>
    <x v="8"/>
    <x v="3"/>
    <x v="0"/>
    <n v="4"/>
    <n v="5.83"/>
    <n v="23.32"/>
  </r>
  <r>
    <s v="2024-09-20"/>
    <x v="0"/>
    <x v="10"/>
    <x v="0"/>
    <n v="8"/>
    <n v="6.94"/>
    <n v="55.52"/>
  </r>
  <r>
    <s v="2024-11-13"/>
    <x v="9"/>
    <x v="2"/>
    <x v="1"/>
    <n v="3"/>
    <n v="534.09"/>
    <n v="1602.27"/>
  </r>
  <r>
    <s v="2024-02-02"/>
    <x v="4"/>
    <x v="11"/>
    <x v="0"/>
    <n v="9"/>
    <n v="19.75"/>
    <n v="177.75"/>
  </r>
  <r>
    <s v="2024-07-12"/>
    <x v="11"/>
    <x v="9"/>
    <x v="2"/>
    <n v="14"/>
    <n v="1615.11"/>
    <n v="22611.539999999997"/>
  </r>
  <r>
    <s v="2024-07-27"/>
    <x v="11"/>
    <x v="1"/>
    <x v="0"/>
    <n v="4"/>
    <n v="72.31"/>
    <n v="289.24"/>
  </r>
  <r>
    <s v="2024-01-25"/>
    <x v="7"/>
    <x v="8"/>
    <x v="2"/>
    <n v="2"/>
    <n v="884.5"/>
    <n v="1769"/>
  </r>
  <r>
    <s v="2024-10-27"/>
    <x v="2"/>
    <x v="11"/>
    <x v="0"/>
    <n v="11"/>
    <n v="14.62"/>
    <n v="160.82"/>
  </r>
  <r>
    <s v="2024-09-07"/>
    <x v="0"/>
    <x v="1"/>
    <x v="0"/>
    <n v="6"/>
    <n v="53.72"/>
    <n v="322.32"/>
  </r>
  <r>
    <s v="2024-10-19"/>
    <x v="2"/>
    <x v="1"/>
    <x v="0"/>
    <n v="4"/>
    <n v="116.73"/>
    <n v="466.92"/>
  </r>
  <r>
    <s v="2024-10-08"/>
    <x v="2"/>
    <x v="4"/>
    <x v="2"/>
    <n v="4"/>
    <n v="799.47"/>
    <n v="3197.88"/>
  </r>
  <r>
    <s v="2024-03-06"/>
    <x v="5"/>
    <x v="3"/>
    <x v="0"/>
    <n v="10"/>
    <n v="4.62"/>
    <n v="46.2"/>
  </r>
  <r>
    <s v="2024-11-05"/>
    <x v="9"/>
    <x v="8"/>
    <x v="2"/>
    <n v="14"/>
    <n v="523.52"/>
    <n v="7329.28"/>
  </r>
  <r>
    <s v="2024-08-07"/>
    <x v="8"/>
    <x v="7"/>
    <x v="0"/>
    <n v="6"/>
    <n v="91.89"/>
    <n v="551.34"/>
  </r>
  <r>
    <s v="2024-05-14"/>
    <x v="3"/>
    <x v="8"/>
    <x v="2"/>
    <n v="1"/>
    <n v="1480.49"/>
    <n v="1480.49"/>
  </r>
  <r>
    <s v="2024-12-15"/>
    <x v="10"/>
    <x v="0"/>
    <x v="0"/>
    <n v="12"/>
    <n v="34.47"/>
    <n v="413.64"/>
  </r>
  <r>
    <s v="2024-06-02"/>
    <x v="6"/>
    <x v="7"/>
    <x v="0"/>
    <n v="15"/>
    <n v="137.82"/>
    <n v="2067.2999999999997"/>
  </r>
  <r>
    <s v="2024-03-11"/>
    <x v="5"/>
    <x v="11"/>
    <x v="0"/>
    <n v="7"/>
    <n v="18.829999999999998"/>
    <n v="131.81"/>
  </r>
  <r>
    <s v="2024-06-27"/>
    <x v="6"/>
    <x v="8"/>
    <x v="2"/>
    <n v="8"/>
    <n v="2010.87"/>
    <n v="16086.96"/>
  </r>
  <r>
    <s v="2024-11-02"/>
    <x v="9"/>
    <x v="5"/>
    <x v="1"/>
    <n v="13"/>
    <n v="1296.05"/>
    <n v="16848.649999999998"/>
  </r>
  <r>
    <s v="2024-08-07"/>
    <x v="8"/>
    <x v="11"/>
    <x v="0"/>
    <n v="2"/>
    <n v="9.81"/>
    <n v="19.62"/>
  </r>
  <r>
    <s v="2024-11-01"/>
    <x v="9"/>
    <x v="0"/>
    <x v="0"/>
    <n v="14"/>
    <n v="79.28"/>
    <n v="1109.92"/>
  </r>
  <r>
    <s v="2024-05-10"/>
    <x v="3"/>
    <x v="2"/>
    <x v="1"/>
    <n v="1"/>
    <n v="426.99"/>
    <n v="426.99"/>
  </r>
  <r>
    <s v="2024-05-29"/>
    <x v="3"/>
    <x v="8"/>
    <x v="2"/>
    <n v="15"/>
    <n v="2450.7800000000002"/>
    <n v="36761.700000000004"/>
  </r>
  <r>
    <s v="2024-01-09"/>
    <x v="7"/>
    <x v="11"/>
    <x v="0"/>
    <n v="5"/>
    <n v="18.96"/>
    <n v="94.800000000000011"/>
  </r>
  <r>
    <s v="2024-06-01"/>
    <x v="6"/>
    <x v="9"/>
    <x v="2"/>
    <n v="8"/>
    <n v="825.66"/>
    <n v="6605.28"/>
  </r>
  <r>
    <s v="2024-08-13"/>
    <x v="8"/>
    <x v="10"/>
    <x v="0"/>
    <n v="14"/>
    <n v="3.92"/>
    <n v="54.879999999999995"/>
  </r>
  <r>
    <s v="2024-01-20"/>
    <x v="7"/>
    <x v="10"/>
    <x v="0"/>
    <n v="3"/>
    <n v="2.2400000000000002"/>
    <n v="6.7200000000000006"/>
  </r>
  <r>
    <s v="2024-12-02"/>
    <x v="10"/>
    <x v="4"/>
    <x v="2"/>
    <n v="7"/>
    <n v="532.79"/>
    <n v="3729.5299999999997"/>
  </r>
  <r>
    <s v="2024-08-28"/>
    <x v="8"/>
    <x v="10"/>
    <x v="0"/>
    <n v="8"/>
    <n v="7.95"/>
    <n v="63.6"/>
  </r>
  <r>
    <s v="2024-07-09"/>
    <x v="11"/>
    <x v="8"/>
    <x v="2"/>
    <n v="7"/>
    <n v="580.17999999999995"/>
    <n v="4061.2599999999998"/>
  </r>
  <r>
    <s v="2024-09-04"/>
    <x v="0"/>
    <x v="8"/>
    <x v="2"/>
    <n v="14"/>
    <n v="779.17"/>
    <n v="10908.38"/>
  </r>
  <r>
    <s v="2024-07-05"/>
    <x v="11"/>
    <x v="0"/>
    <x v="0"/>
    <n v="4"/>
    <n v="36.28"/>
    <n v="145.12"/>
  </r>
  <r>
    <s v="2024-11-11"/>
    <x v="9"/>
    <x v="2"/>
    <x v="1"/>
    <n v="2"/>
    <n v="412.75"/>
    <n v="825.5"/>
  </r>
  <r>
    <s v="2024-01-15"/>
    <x v="7"/>
    <x v="9"/>
    <x v="2"/>
    <n v="11"/>
    <n v="1478.65"/>
    <n v="16265.150000000001"/>
  </r>
  <r>
    <s v="2024-03-03"/>
    <x v="5"/>
    <x v="7"/>
    <x v="0"/>
    <n v="1"/>
    <n v="230.63"/>
    <n v="230.63"/>
  </r>
  <r>
    <s v="2024-09-24"/>
    <x v="0"/>
    <x v="7"/>
    <x v="0"/>
    <n v="13"/>
    <n v="173.87"/>
    <n v="2260.31"/>
  </r>
  <r>
    <s v="2024-11-24"/>
    <x v="9"/>
    <x v="8"/>
    <x v="2"/>
    <n v="5"/>
    <n v="860.87"/>
    <n v="4304.3500000000004"/>
  </r>
  <r>
    <s v="2024-09-23"/>
    <x v="0"/>
    <x v="9"/>
    <x v="2"/>
    <n v="2"/>
    <n v="1015.62"/>
    <n v="2031.24"/>
  </r>
  <r>
    <s v="2024-05-11"/>
    <x v="3"/>
    <x v="0"/>
    <x v="0"/>
    <n v="6"/>
    <n v="34.15"/>
    <n v="204.89999999999998"/>
  </r>
  <r>
    <s v="2024-01-08"/>
    <x v="7"/>
    <x v="11"/>
    <x v="0"/>
    <n v="2"/>
    <n v="16.170000000000002"/>
    <n v="32.340000000000003"/>
  </r>
  <r>
    <s v="2024-09-01"/>
    <x v="0"/>
    <x v="10"/>
    <x v="0"/>
    <n v="12"/>
    <n v="6.7"/>
    <n v="80.400000000000006"/>
  </r>
  <r>
    <s v="2024-11-17"/>
    <x v="9"/>
    <x v="6"/>
    <x v="2"/>
    <n v="1"/>
    <n v="549.73"/>
    <n v="549.73"/>
  </r>
  <r>
    <s v="2024-02-24"/>
    <x v="4"/>
    <x v="6"/>
    <x v="2"/>
    <n v="4"/>
    <n v="932.61"/>
    <n v="3730.44"/>
  </r>
  <r>
    <s v="2024-01-05"/>
    <x v="7"/>
    <x v="6"/>
    <x v="2"/>
    <n v="9"/>
    <n v="315.88"/>
    <n v="2842.92"/>
  </r>
  <r>
    <s v="2024-08-24"/>
    <x v="8"/>
    <x v="8"/>
    <x v="2"/>
    <n v="6"/>
    <n v="655.64"/>
    <n v="3933.84"/>
  </r>
  <r>
    <s v="2024-08-24"/>
    <x v="8"/>
    <x v="7"/>
    <x v="0"/>
    <n v="2"/>
    <n v="110.88"/>
    <n v="221.76"/>
  </r>
  <r>
    <s v="2024-03-20"/>
    <x v="5"/>
    <x v="9"/>
    <x v="2"/>
    <n v="9"/>
    <n v="1780.25"/>
    <n v="16022.25"/>
  </r>
  <r>
    <s v="2024-11-25"/>
    <x v="9"/>
    <x v="10"/>
    <x v="0"/>
    <n v="12"/>
    <n v="7.28"/>
    <n v="87.36"/>
  </r>
  <r>
    <s v="2024-07-26"/>
    <x v="11"/>
    <x v="4"/>
    <x v="2"/>
    <n v="4"/>
    <n v="308.58"/>
    <n v="1234.32"/>
  </r>
  <r>
    <s v="2024-08-13"/>
    <x v="8"/>
    <x v="9"/>
    <x v="2"/>
    <n v="4"/>
    <n v="948.72"/>
    <n v="3794.88"/>
  </r>
  <r>
    <s v="2024-05-28"/>
    <x v="3"/>
    <x v="10"/>
    <x v="0"/>
    <n v="3"/>
    <n v="4.54"/>
    <n v="13.620000000000001"/>
  </r>
  <r>
    <s v="2024-10-11"/>
    <x v="2"/>
    <x v="5"/>
    <x v="1"/>
    <n v="10"/>
    <n v="1661.83"/>
    <n v="16618.3"/>
  </r>
  <r>
    <s v="2024-02-14"/>
    <x v="4"/>
    <x v="9"/>
    <x v="2"/>
    <n v="7"/>
    <n v="1262.1400000000001"/>
    <n v="8834.9800000000014"/>
  </r>
  <r>
    <s v="2024-01-28"/>
    <x v="7"/>
    <x v="7"/>
    <x v="0"/>
    <n v="7"/>
    <n v="199"/>
    <n v="1393"/>
  </r>
  <r>
    <s v="2024-02-12"/>
    <x v="4"/>
    <x v="2"/>
    <x v="1"/>
    <n v="13"/>
    <n v="559.25"/>
    <n v="7270.25"/>
  </r>
  <r>
    <s v="2024-02-25"/>
    <x v="4"/>
    <x v="0"/>
    <x v="0"/>
    <n v="2"/>
    <n v="70.930000000000007"/>
    <n v="141.86000000000001"/>
  </r>
  <r>
    <s v="2024-08-11"/>
    <x v="8"/>
    <x v="11"/>
    <x v="0"/>
    <n v="4"/>
    <n v="11.47"/>
    <n v="45.88"/>
  </r>
  <r>
    <s v="2024-03-23"/>
    <x v="5"/>
    <x v="10"/>
    <x v="0"/>
    <n v="12"/>
    <n v="5.46"/>
    <n v="65.52"/>
  </r>
  <r>
    <s v="2024-09-12"/>
    <x v="0"/>
    <x v="7"/>
    <x v="0"/>
    <n v="2"/>
    <n v="215.91"/>
    <n v="431.82"/>
  </r>
  <r>
    <s v="2024-10-15"/>
    <x v="2"/>
    <x v="7"/>
    <x v="0"/>
    <n v="1"/>
    <n v="174.4"/>
    <n v="174.4"/>
  </r>
  <r>
    <s v="2024-08-20"/>
    <x v="8"/>
    <x v="10"/>
    <x v="0"/>
    <n v="7"/>
    <n v="6.15"/>
    <n v="43.050000000000004"/>
  </r>
  <r>
    <s v="2024-07-31"/>
    <x v="11"/>
    <x v="11"/>
    <x v="0"/>
    <n v="3"/>
    <n v="10.23"/>
    <n v="30.69"/>
  </r>
  <r>
    <s v="2024-04-12"/>
    <x v="1"/>
    <x v="10"/>
    <x v="0"/>
    <n v="11"/>
    <n v="3.81"/>
    <n v="41.910000000000004"/>
  </r>
  <r>
    <s v="2024-12-20"/>
    <x v="10"/>
    <x v="1"/>
    <x v="0"/>
    <n v="7"/>
    <n v="97.57"/>
    <n v="682.99"/>
  </r>
  <r>
    <s v="2024-05-11"/>
    <x v="3"/>
    <x v="10"/>
    <x v="0"/>
    <n v="8"/>
    <n v="6.61"/>
    <n v="52.88"/>
  </r>
  <r>
    <s v="2024-08-08"/>
    <x v="8"/>
    <x v="5"/>
    <x v="1"/>
    <n v="8"/>
    <n v="1115.74"/>
    <n v="8925.92"/>
  </r>
  <r>
    <s v="2024-08-16"/>
    <x v="8"/>
    <x v="11"/>
    <x v="0"/>
    <n v="14"/>
    <n v="10.7"/>
    <n v="149.79999999999998"/>
  </r>
  <r>
    <s v="2024-03-17"/>
    <x v="5"/>
    <x v="5"/>
    <x v="1"/>
    <n v="6"/>
    <n v="1779.39"/>
    <n v="10676.34"/>
  </r>
  <r>
    <s v="2024-03-24"/>
    <x v="5"/>
    <x v="5"/>
    <x v="1"/>
    <n v="10"/>
    <n v="688.72"/>
    <n v="6887.2000000000007"/>
  </r>
  <r>
    <s v="2024-08-07"/>
    <x v="8"/>
    <x v="6"/>
    <x v="2"/>
    <n v="3"/>
    <n v="620.53"/>
    <n v="1861.59"/>
  </r>
  <r>
    <s v="2024-08-13"/>
    <x v="8"/>
    <x v="5"/>
    <x v="1"/>
    <n v="9"/>
    <n v="511.49"/>
    <n v="4603.41"/>
  </r>
  <r>
    <s v="2024-06-25"/>
    <x v="6"/>
    <x v="0"/>
    <x v="0"/>
    <n v="12"/>
    <n v="74.41"/>
    <n v="892.92"/>
  </r>
  <r>
    <s v="2024-11-09"/>
    <x v="9"/>
    <x v="8"/>
    <x v="2"/>
    <n v="2"/>
    <n v="841.14"/>
    <n v="1682.28"/>
  </r>
  <r>
    <s v="2024-03-21"/>
    <x v="5"/>
    <x v="3"/>
    <x v="0"/>
    <n v="2"/>
    <n v="4.7699999999999996"/>
    <n v="9.5399999999999991"/>
  </r>
  <r>
    <s v="2024-01-17"/>
    <x v="7"/>
    <x v="8"/>
    <x v="2"/>
    <n v="12"/>
    <n v="1390.09"/>
    <n v="16681.079999999998"/>
  </r>
  <r>
    <s v="2024-04-26"/>
    <x v="1"/>
    <x v="7"/>
    <x v="0"/>
    <n v="1"/>
    <n v="123.64"/>
    <n v="123.64"/>
  </r>
  <r>
    <s v="2024-08-17"/>
    <x v="8"/>
    <x v="11"/>
    <x v="0"/>
    <n v="11"/>
    <n v="8.6300000000000008"/>
    <n v="94.93"/>
  </r>
  <r>
    <s v="2024-06-21"/>
    <x v="6"/>
    <x v="1"/>
    <x v="0"/>
    <n v="13"/>
    <n v="49.47"/>
    <n v="643.11"/>
  </r>
  <r>
    <s v="2024-10-07"/>
    <x v="2"/>
    <x v="8"/>
    <x v="2"/>
    <n v="6"/>
    <n v="1884.76"/>
    <n v="11308.56"/>
  </r>
  <r>
    <s v="2024-05-17"/>
    <x v="3"/>
    <x v="6"/>
    <x v="2"/>
    <n v="4"/>
    <n v="1084.67"/>
    <n v="4338.68"/>
  </r>
  <r>
    <s v="2024-04-25"/>
    <x v="1"/>
    <x v="2"/>
    <x v="1"/>
    <n v="14"/>
    <n v="409.73"/>
    <n v="5736.22"/>
  </r>
  <r>
    <s v="2024-12-11"/>
    <x v="10"/>
    <x v="8"/>
    <x v="2"/>
    <n v="4"/>
    <n v="883.09"/>
    <n v="3532.36"/>
  </r>
  <r>
    <s v="2024-10-26"/>
    <x v="2"/>
    <x v="10"/>
    <x v="0"/>
    <n v="15"/>
    <n v="5.48"/>
    <n v="82.2"/>
  </r>
  <r>
    <s v="2024-07-15"/>
    <x v="11"/>
    <x v="2"/>
    <x v="1"/>
    <n v="1"/>
    <n v="552.82000000000005"/>
    <n v="552.82000000000005"/>
  </r>
  <r>
    <s v="2024-11-23"/>
    <x v="9"/>
    <x v="8"/>
    <x v="2"/>
    <n v="14"/>
    <n v="2102.52"/>
    <n v="29435.279999999999"/>
  </r>
  <r>
    <s v="2024-05-07"/>
    <x v="3"/>
    <x v="7"/>
    <x v="0"/>
    <n v="12"/>
    <n v="180.56"/>
    <n v="2166.7200000000003"/>
  </r>
  <r>
    <s v="2024-04-23"/>
    <x v="1"/>
    <x v="1"/>
    <x v="0"/>
    <n v="6"/>
    <n v="118.25"/>
    <n v="709.5"/>
  </r>
  <r>
    <s v="2024-02-24"/>
    <x v="4"/>
    <x v="7"/>
    <x v="0"/>
    <n v="3"/>
    <n v="193.09"/>
    <n v="579.27"/>
  </r>
  <r>
    <s v="2024-09-05"/>
    <x v="0"/>
    <x v="6"/>
    <x v="2"/>
    <n v="1"/>
    <n v="762.6"/>
    <n v="762.6"/>
  </r>
  <r>
    <s v="2024-11-19"/>
    <x v="9"/>
    <x v="10"/>
    <x v="0"/>
    <n v="9"/>
    <n v="7.54"/>
    <n v="67.86"/>
  </r>
  <r>
    <s v="2024-11-25"/>
    <x v="9"/>
    <x v="4"/>
    <x v="2"/>
    <n v="3"/>
    <n v="855.04"/>
    <n v="2565.12"/>
  </r>
  <r>
    <s v="2024-07-28"/>
    <x v="11"/>
    <x v="11"/>
    <x v="0"/>
    <n v="4"/>
    <n v="8.02"/>
    <n v="32.08"/>
  </r>
  <r>
    <s v="2024-11-01"/>
    <x v="9"/>
    <x v="11"/>
    <x v="0"/>
    <n v="4"/>
    <n v="6.14"/>
    <n v="24.56"/>
  </r>
  <r>
    <s v="2024-04-14"/>
    <x v="1"/>
    <x v="3"/>
    <x v="0"/>
    <n v="9"/>
    <n v="5.2"/>
    <n v="46.800000000000004"/>
  </r>
  <r>
    <s v="2024-02-27"/>
    <x v="4"/>
    <x v="1"/>
    <x v="0"/>
    <n v="3"/>
    <n v="114.31"/>
    <n v="342.93"/>
  </r>
  <r>
    <s v="2024-11-01"/>
    <x v="9"/>
    <x v="11"/>
    <x v="0"/>
    <n v="2"/>
    <n v="11.25"/>
    <n v="22.5"/>
  </r>
  <r>
    <s v="2024-12-07"/>
    <x v="10"/>
    <x v="6"/>
    <x v="2"/>
    <n v="5"/>
    <n v="360.33"/>
    <n v="1801.6499999999999"/>
  </r>
  <r>
    <s v="2024-04-04"/>
    <x v="1"/>
    <x v="5"/>
    <x v="1"/>
    <n v="10"/>
    <n v="1051.49"/>
    <n v="10514.9"/>
  </r>
  <r>
    <s v="2024-02-27"/>
    <x v="4"/>
    <x v="8"/>
    <x v="2"/>
    <n v="14"/>
    <n v="569.27"/>
    <n v="7969.78"/>
  </r>
  <r>
    <s v="2024-02-24"/>
    <x v="4"/>
    <x v="8"/>
    <x v="2"/>
    <n v="6"/>
    <n v="1060.99"/>
    <n v="6365.9400000000005"/>
  </r>
  <r>
    <s v="2024-02-23"/>
    <x v="4"/>
    <x v="3"/>
    <x v="0"/>
    <n v="8"/>
    <n v="5.42"/>
    <n v="43.36"/>
  </r>
  <r>
    <s v="2024-06-29"/>
    <x v="6"/>
    <x v="8"/>
    <x v="2"/>
    <n v="15"/>
    <n v="861.1"/>
    <n v="12916.5"/>
  </r>
  <r>
    <s v="2024-08-07"/>
    <x v="8"/>
    <x v="2"/>
    <x v="1"/>
    <n v="5"/>
    <n v="557.73"/>
    <n v="2788.65"/>
  </r>
  <r>
    <s v="2024-04-19"/>
    <x v="1"/>
    <x v="0"/>
    <x v="0"/>
    <n v="8"/>
    <n v="52.01"/>
    <n v="416.08"/>
  </r>
  <r>
    <s v="2024-06-07"/>
    <x v="6"/>
    <x v="10"/>
    <x v="0"/>
    <n v="11"/>
    <n v="6.8"/>
    <n v="74.8"/>
  </r>
  <r>
    <s v="2024-03-08"/>
    <x v="5"/>
    <x v="5"/>
    <x v="1"/>
    <n v="11"/>
    <n v="704.59"/>
    <n v="7750.4900000000007"/>
  </r>
  <r>
    <s v="2024-12-19"/>
    <x v="10"/>
    <x v="4"/>
    <x v="2"/>
    <n v="1"/>
    <n v="1263.22"/>
    <n v="1263.22"/>
  </r>
  <r>
    <s v="2024-08-13"/>
    <x v="8"/>
    <x v="3"/>
    <x v="0"/>
    <n v="7"/>
    <n v="4.12"/>
    <n v="28.84"/>
  </r>
  <r>
    <s v="2024-05-24"/>
    <x v="3"/>
    <x v="11"/>
    <x v="0"/>
    <n v="4"/>
    <n v="19.600000000000001"/>
    <n v="78.400000000000006"/>
  </r>
  <r>
    <s v="2024-10-03"/>
    <x v="2"/>
    <x v="5"/>
    <x v="1"/>
    <n v="2"/>
    <n v="747.25"/>
    <n v="1494.5"/>
  </r>
  <r>
    <s v="2024-02-01"/>
    <x v="4"/>
    <x v="9"/>
    <x v="2"/>
    <n v="7"/>
    <n v="1196.1400000000001"/>
    <n v="8372.9800000000014"/>
  </r>
  <r>
    <s v="2024-11-22"/>
    <x v="9"/>
    <x v="3"/>
    <x v="0"/>
    <n v="12"/>
    <n v="8.6"/>
    <n v="103.19999999999999"/>
  </r>
  <r>
    <s v="2024-08-12"/>
    <x v="8"/>
    <x v="4"/>
    <x v="2"/>
    <n v="8"/>
    <n v="768.5"/>
    <n v="6148"/>
  </r>
  <r>
    <s v="2024-07-22"/>
    <x v="11"/>
    <x v="5"/>
    <x v="1"/>
    <n v="7"/>
    <n v="1642.53"/>
    <n v="11497.71"/>
  </r>
  <r>
    <s v="2024-10-05"/>
    <x v="2"/>
    <x v="8"/>
    <x v="2"/>
    <n v="15"/>
    <n v="2412.65"/>
    <n v="36189.75"/>
  </r>
  <r>
    <s v="2024-05-25"/>
    <x v="3"/>
    <x v="10"/>
    <x v="0"/>
    <n v="4"/>
    <n v="4.7300000000000004"/>
    <n v="18.920000000000002"/>
  </r>
  <r>
    <s v="2024-06-22"/>
    <x v="6"/>
    <x v="1"/>
    <x v="0"/>
    <n v="15"/>
    <n v="112.5"/>
    <n v="1687.5"/>
  </r>
  <r>
    <s v="2024-01-05"/>
    <x v="7"/>
    <x v="10"/>
    <x v="0"/>
    <n v="3"/>
    <n v="6.87"/>
    <n v="20.61"/>
  </r>
  <r>
    <s v="2024-04-21"/>
    <x v="1"/>
    <x v="5"/>
    <x v="1"/>
    <n v="12"/>
    <n v="571.25"/>
    <n v="6855"/>
  </r>
  <r>
    <s v="2024-01-03"/>
    <x v="7"/>
    <x v="3"/>
    <x v="0"/>
    <n v="14"/>
    <n v="5.22"/>
    <n v="73.08"/>
  </r>
  <r>
    <s v="2024-10-10"/>
    <x v="2"/>
    <x v="5"/>
    <x v="1"/>
    <n v="7"/>
    <n v="1174.94"/>
    <n v="8224.58"/>
  </r>
  <r>
    <s v="2024-03-23"/>
    <x v="5"/>
    <x v="1"/>
    <x v="0"/>
    <n v="15"/>
    <n v="53.34"/>
    <n v="800.1"/>
  </r>
  <r>
    <s v="2024-10-15"/>
    <x v="2"/>
    <x v="6"/>
    <x v="2"/>
    <n v="14"/>
    <n v="688.52"/>
    <n v="9639.2799999999988"/>
  </r>
  <r>
    <s v="2024-08-16"/>
    <x v="8"/>
    <x v="6"/>
    <x v="2"/>
    <n v="15"/>
    <n v="567.29"/>
    <n v="8509.3499999999985"/>
  </r>
  <r>
    <s v="2024-04-06"/>
    <x v="1"/>
    <x v="2"/>
    <x v="1"/>
    <n v="15"/>
    <n v="225.06"/>
    <n v="3375.9"/>
  </r>
  <r>
    <s v="2024-06-12"/>
    <x v="6"/>
    <x v="10"/>
    <x v="0"/>
    <n v="5"/>
    <n v="4.96"/>
    <n v="24.8"/>
  </r>
  <r>
    <s v="2024-08-19"/>
    <x v="8"/>
    <x v="11"/>
    <x v="0"/>
    <n v="11"/>
    <n v="10.84"/>
    <n v="119.24"/>
  </r>
  <r>
    <s v="2024-09-11"/>
    <x v="0"/>
    <x v="2"/>
    <x v="1"/>
    <n v="9"/>
    <n v="535.87"/>
    <n v="4822.83"/>
  </r>
  <r>
    <s v="2024-10-09"/>
    <x v="2"/>
    <x v="4"/>
    <x v="2"/>
    <n v="8"/>
    <n v="572.05999999999995"/>
    <n v="4576.4799999999996"/>
  </r>
  <r>
    <s v="2024-11-02"/>
    <x v="9"/>
    <x v="9"/>
    <x v="2"/>
    <n v="15"/>
    <n v="1098.8699999999999"/>
    <n v="16483.05"/>
  </r>
  <r>
    <s v="2024-07-09"/>
    <x v="11"/>
    <x v="8"/>
    <x v="2"/>
    <n v="7"/>
    <n v="1573.93"/>
    <n v="11017.51"/>
  </r>
  <r>
    <s v="2024-01-24"/>
    <x v="7"/>
    <x v="11"/>
    <x v="0"/>
    <n v="6"/>
    <n v="6.92"/>
    <n v="41.519999999999996"/>
  </r>
  <r>
    <s v="2024-08-11"/>
    <x v="8"/>
    <x v="8"/>
    <x v="2"/>
    <n v="1"/>
    <n v="1667.23"/>
    <n v="1667.23"/>
  </r>
  <r>
    <s v="2024-02-13"/>
    <x v="4"/>
    <x v="2"/>
    <x v="1"/>
    <n v="7"/>
    <n v="445.22"/>
    <n v="3116.54"/>
  </r>
  <r>
    <s v="2024-12-10"/>
    <x v="10"/>
    <x v="9"/>
    <x v="2"/>
    <n v="1"/>
    <n v="1584.93"/>
    <n v="1584.93"/>
  </r>
  <r>
    <s v="2024-05-27"/>
    <x v="3"/>
    <x v="10"/>
    <x v="0"/>
    <n v="12"/>
    <n v="2.64"/>
    <n v="31.68"/>
  </r>
  <r>
    <s v="2024-07-21"/>
    <x v="11"/>
    <x v="7"/>
    <x v="0"/>
    <n v="11"/>
    <n v="133.79"/>
    <n v="1471.6899999999998"/>
  </r>
  <r>
    <s v="2024-06-04"/>
    <x v="6"/>
    <x v="2"/>
    <x v="1"/>
    <n v="1"/>
    <n v="508.41"/>
    <n v="508.41"/>
  </r>
  <r>
    <s v="2024-08-04"/>
    <x v="8"/>
    <x v="8"/>
    <x v="2"/>
    <n v="11"/>
    <n v="1356.69"/>
    <n v="14923.59"/>
  </r>
  <r>
    <s v="2024-03-03"/>
    <x v="5"/>
    <x v="4"/>
    <x v="2"/>
    <n v="14"/>
    <n v="1421.57"/>
    <n v="19901.98"/>
  </r>
  <r>
    <s v="2024-03-18"/>
    <x v="5"/>
    <x v="0"/>
    <x v="0"/>
    <n v="9"/>
    <n v="33.020000000000003"/>
    <n v="297.18"/>
  </r>
  <r>
    <s v="2024-02-03"/>
    <x v="4"/>
    <x v="7"/>
    <x v="0"/>
    <n v="10"/>
    <n v="152.13"/>
    <n v="1521.3"/>
  </r>
  <r>
    <s v="2024-12-12"/>
    <x v="10"/>
    <x v="11"/>
    <x v="0"/>
    <n v="13"/>
    <n v="12.64"/>
    <n v="164.32"/>
  </r>
  <r>
    <s v="2024-05-11"/>
    <x v="3"/>
    <x v="1"/>
    <x v="0"/>
    <n v="6"/>
    <n v="101.33"/>
    <n v="607.98"/>
  </r>
  <r>
    <s v="2024-04-11"/>
    <x v="1"/>
    <x v="7"/>
    <x v="0"/>
    <n v="7"/>
    <n v="102.52"/>
    <n v="717.64"/>
  </r>
  <r>
    <s v="2024-05-31"/>
    <x v="3"/>
    <x v="7"/>
    <x v="0"/>
    <n v="10"/>
    <n v="209.05"/>
    <n v="2090.5"/>
  </r>
  <r>
    <s v="2024-04-15"/>
    <x v="1"/>
    <x v="2"/>
    <x v="1"/>
    <n v="9"/>
    <n v="323.3"/>
    <n v="2909.7000000000003"/>
  </r>
  <r>
    <s v="2024-12-22"/>
    <x v="10"/>
    <x v="8"/>
    <x v="2"/>
    <n v="9"/>
    <n v="1521.3"/>
    <n v="13691.699999999999"/>
  </r>
  <r>
    <s v="2024-05-08"/>
    <x v="3"/>
    <x v="10"/>
    <x v="0"/>
    <n v="12"/>
    <n v="3.96"/>
    <n v="47.519999999999996"/>
  </r>
  <r>
    <s v="2024-10-15"/>
    <x v="2"/>
    <x v="0"/>
    <x v="0"/>
    <n v="9"/>
    <n v="27.3"/>
    <n v="245.70000000000002"/>
  </r>
  <r>
    <s v="2024-05-30"/>
    <x v="3"/>
    <x v="1"/>
    <x v="0"/>
    <n v="4"/>
    <n v="60.82"/>
    <n v="243.28"/>
  </r>
  <r>
    <s v="2024-09-21"/>
    <x v="0"/>
    <x v="11"/>
    <x v="0"/>
    <n v="1"/>
    <n v="7.03"/>
    <n v="7.03"/>
  </r>
  <r>
    <s v="2024-10-19"/>
    <x v="2"/>
    <x v="7"/>
    <x v="0"/>
    <n v="15"/>
    <n v="208.8"/>
    <n v="3132"/>
  </r>
  <r>
    <s v="2024-03-09"/>
    <x v="5"/>
    <x v="6"/>
    <x v="2"/>
    <n v="12"/>
    <n v="876.25"/>
    <n v="10515"/>
  </r>
  <r>
    <s v="2024-07-12"/>
    <x v="11"/>
    <x v="4"/>
    <x v="2"/>
    <n v="15"/>
    <n v="304.55"/>
    <n v="4568.25"/>
  </r>
  <r>
    <s v="2024-10-15"/>
    <x v="2"/>
    <x v="3"/>
    <x v="0"/>
    <n v="11"/>
    <n v="7.1"/>
    <n v="78.099999999999994"/>
  </r>
  <r>
    <s v="2024-11-29"/>
    <x v="9"/>
    <x v="1"/>
    <x v="0"/>
    <n v="5"/>
    <n v="95.99"/>
    <n v="479.95"/>
  </r>
  <r>
    <s v="2024-02-09"/>
    <x v="4"/>
    <x v="6"/>
    <x v="2"/>
    <n v="3"/>
    <n v="731.12"/>
    <n v="2193.36"/>
  </r>
  <r>
    <s v="2024-04-27"/>
    <x v="1"/>
    <x v="1"/>
    <x v="0"/>
    <n v="4"/>
    <n v="47.83"/>
    <n v="191.32"/>
  </r>
  <r>
    <s v="2024-06-22"/>
    <x v="6"/>
    <x v="5"/>
    <x v="1"/>
    <n v="9"/>
    <n v="1592.19"/>
    <n v="14329.710000000001"/>
  </r>
  <r>
    <s v="2024-03-13"/>
    <x v="5"/>
    <x v="5"/>
    <x v="1"/>
    <n v="7"/>
    <n v="1133.97"/>
    <n v="7937.79"/>
  </r>
  <r>
    <s v="2024-04-09"/>
    <x v="1"/>
    <x v="5"/>
    <x v="1"/>
    <n v="9"/>
    <n v="718.12"/>
    <n v="6463.08"/>
  </r>
  <r>
    <s v="2024-09-18"/>
    <x v="0"/>
    <x v="5"/>
    <x v="1"/>
    <n v="15"/>
    <n v="1291.1500000000001"/>
    <n v="19367.25"/>
  </r>
  <r>
    <s v="2024-02-21"/>
    <x v="4"/>
    <x v="1"/>
    <x v="0"/>
    <n v="2"/>
    <n v="48.57"/>
    <n v="97.14"/>
  </r>
  <r>
    <s v="2024-01-23"/>
    <x v="7"/>
    <x v="11"/>
    <x v="0"/>
    <n v="5"/>
    <n v="16.34"/>
    <n v="81.7"/>
  </r>
  <r>
    <s v="2024-11-14"/>
    <x v="9"/>
    <x v="8"/>
    <x v="2"/>
    <n v="4"/>
    <n v="795.49"/>
    <n v="3181.96"/>
  </r>
  <r>
    <s v="2024-03-26"/>
    <x v="5"/>
    <x v="3"/>
    <x v="0"/>
    <n v="9"/>
    <n v="8.6"/>
    <n v="77.399999999999991"/>
  </r>
  <r>
    <s v="2024-11-16"/>
    <x v="9"/>
    <x v="2"/>
    <x v="1"/>
    <n v="10"/>
    <n v="466.8"/>
    <n v="4668"/>
  </r>
  <r>
    <s v="2024-01-30"/>
    <x v="7"/>
    <x v="4"/>
    <x v="2"/>
    <n v="3"/>
    <n v="846.54"/>
    <n v="2539.62"/>
  </r>
  <r>
    <s v="2024-11-28"/>
    <x v="9"/>
    <x v="10"/>
    <x v="0"/>
    <n v="7"/>
    <n v="5.56"/>
    <n v="38.919999999999995"/>
  </r>
  <r>
    <s v="2024-07-17"/>
    <x v="11"/>
    <x v="3"/>
    <x v="0"/>
    <n v="15"/>
    <n v="5.76"/>
    <n v="86.399999999999991"/>
  </r>
  <r>
    <s v="2024-02-25"/>
    <x v="4"/>
    <x v="9"/>
    <x v="2"/>
    <n v="5"/>
    <n v="1603.12"/>
    <n v="8015.5999999999995"/>
  </r>
  <r>
    <s v="2024-06-09"/>
    <x v="6"/>
    <x v="10"/>
    <x v="0"/>
    <n v="6"/>
    <n v="4.12"/>
    <n v="24.72"/>
  </r>
  <r>
    <s v="2024-01-20"/>
    <x v="7"/>
    <x v="6"/>
    <x v="2"/>
    <n v="8"/>
    <n v="1040.3399999999999"/>
    <n v="8322.7199999999993"/>
  </r>
  <r>
    <s v="2024-09-03"/>
    <x v="0"/>
    <x v="4"/>
    <x v="2"/>
    <n v="14"/>
    <n v="640.20000000000005"/>
    <n v="8962.8000000000011"/>
  </r>
  <r>
    <s v="2024-06-16"/>
    <x v="6"/>
    <x v="5"/>
    <x v="1"/>
    <n v="4"/>
    <n v="794.14"/>
    <n v="3176.56"/>
  </r>
  <r>
    <s v="2024-07-06"/>
    <x v="11"/>
    <x v="7"/>
    <x v="0"/>
    <n v="10"/>
    <n v="136.59"/>
    <n v="1365.9"/>
  </r>
  <r>
    <s v="2024-12-16"/>
    <x v="10"/>
    <x v="9"/>
    <x v="2"/>
    <n v="9"/>
    <n v="1705.11"/>
    <n v="15345.99"/>
  </r>
  <r>
    <s v="2024-10-14"/>
    <x v="2"/>
    <x v="6"/>
    <x v="2"/>
    <n v="9"/>
    <n v="895.67"/>
    <n v="8061.03"/>
  </r>
  <r>
    <s v="2024-01-03"/>
    <x v="7"/>
    <x v="0"/>
    <x v="0"/>
    <n v="10"/>
    <n v="24.29"/>
    <n v="242.89999999999998"/>
  </r>
  <r>
    <s v="2024-07-13"/>
    <x v="11"/>
    <x v="5"/>
    <x v="1"/>
    <n v="15"/>
    <n v="991.98"/>
    <n v="14879.7"/>
  </r>
  <r>
    <s v="2024-10-31"/>
    <x v="2"/>
    <x v="1"/>
    <x v="0"/>
    <n v="3"/>
    <n v="55.84"/>
    <n v="167.52"/>
  </r>
  <r>
    <s v="2024-03-31"/>
    <x v="5"/>
    <x v="8"/>
    <x v="2"/>
    <n v="12"/>
    <n v="2335.14"/>
    <n v="28021.68"/>
  </r>
  <r>
    <s v="2024-02-14"/>
    <x v="4"/>
    <x v="0"/>
    <x v="0"/>
    <n v="3"/>
    <n v="40.39"/>
    <n v="121.17"/>
  </r>
  <r>
    <s v="2024-10-23"/>
    <x v="2"/>
    <x v="10"/>
    <x v="0"/>
    <n v="11"/>
    <n v="5.33"/>
    <n v="58.63"/>
  </r>
  <r>
    <s v="2024-06-14"/>
    <x v="6"/>
    <x v="6"/>
    <x v="2"/>
    <n v="12"/>
    <n v="236.57"/>
    <n v="2838.84"/>
  </r>
  <r>
    <s v="2024-09-15"/>
    <x v="0"/>
    <x v="4"/>
    <x v="2"/>
    <n v="15"/>
    <n v="491.43"/>
    <n v="7371.45"/>
  </r>
  <r>
    <s v="2024-11-30"/>
    <x v="9"/>
    <x v="5"/>
    <x v="1"/>
    <n v="5"/>
    <n v="909.03"/>
    <n v="4545.1499999999996"/>
  </r>
  <r>
    <s v="2024-07-18"/>
    <x v="11"/>
    <x v="5"/>
    <x v="1"/>
    <n v="1"/>
    <n v="639.70000000000005"/>
    <n v="639.70000000000005"/>
  </r>
  <r>
    <s v="2024-07-01"/>
    <x v="11"/>
    <x v="10"/>
    <x v="0"/>
    <n v="1"/>
    <n v="6.39"/>
    <n v="6.39"/>
  </r>
  <r>
    <s v="2024-07-04"/>
    <x v="11"/>
    <x v="9"/>
    <x v="2"/>
    <n v="13"/>
    <n v="1099.76"/>
    <n v="14296.88"/>
  </r>
  <r>
    <s v="2024-07-18"/>
    <x v="11"/>
    <x v="8"/>
    <x v="2"/>
    <n v="9"/>
    <n v="765.35"/>
    <n v="6888.1500000000005"/>
  </r>
  <r>
    <s v="2024-09-15"/>
    <x v="0"/>
    <x v="2"/>
    <x v="1"/>
    <n v="7"/>
    <n v="552.26"/>
    <n v="3865.8199999999997"/>
  </r>
  <r>
    <s v="2024-04-24"/>
    <x v="1"/>
    <x v="2"/>
    <x v="1"/>
    <n v="9"/>
    <n v="200.28"/>
    <n v="1802.52"/>
  </r>
  <r>
    <s v="2024-01-22"/>
    <x v="7"/>
    <x v="10"/>
    <x v="0"/>
    <n v="7"/>
    <n v="2.83"/>
    <n v="19.810000000000002"/>
  </r>
  <r>
    <s v="2024-02-16"/>
    <x v="4"/>
    <x v="3"/>
    <x v="0"/>
    <n v="4"/>
    <n v="8.39"/>
    <n v="33.56"/>
  </r>
  <r>
    <s v="2024-11-06"/>
    <x v="9"/>
    <x v="1"/>
    <x v="0"/>
    <n v="8"/>
    <n v="58.85"/>
    <n v="470.8"/>
  </r>
  <r>
    <s v="2024-02-06"/>
    <x v="4"/>
    <x v="8"/>
    <x v="2"/>
    <n v="14"/>
    <n v="732.03"/>
    <n v="10248.42"/>
  </r>
  <r>
    <s v="2024-07-07"/>
    <x v="11"/>
    <x v="9"/>
    <x v="2"/>
    <n v="8"/>
    <n v="1684.53"/>
    <n v="13476.24"/>
  </r>
  <r>
    <s v="2024-03-23"/>
    <x v="5"/>
    <x v="4"/>
    <x v="2"/>
    <n v="13"/>
    <n v="1356.96"/>
    <n v="17640.48"/>
  </r>
  <r>
    <s v="2024-05-07"/>
    <x v="3"/>
    <x v="11"/>
    <x v="0"/>
    <n v="11"/>
    <n v="10.77"/>
    <n v="118.47"/>
  </r>
  <r>
    <s v="2024-01-08"/>
    <x v="7"/>
    <x v="5"/>
    <x v="1"/>
    <n v="8"/>
    <n v="1010.63"/>
    <n v="8085.04"/>
  </r>
  <r>
    <s v="2024-08-16"/>
    <x v="8"/>
    <x v="10"/>
    <x v="0"/>
    <n v="12"/>
    <n v="3.45"/>
    <n v="41.400000000000006"/>
  </r>
  <r>
    <s v="2024-06-09"/>
    <x v="6"/>
    <x v="7"/>
    <x v="0"/>
    <n v="15"/>
    <n v="132.07"/>
    <n v="1981.05"/>
  </r>
  <r>
    <s v="2024-08-03"/>
    <x v="8"/>
    <x v="0"/>
    <x v="0"/>
    <n v="10"/>
    <n v="23.07"/>
    <n v="230.7"/>
  </r>
  <r>
    <s v="2024-12-07"/>
    <x v="10"/>
    <x v="0"/>
    <x v="0"/>
    <n v="15"/>
    <n v="58.3"/>
    <n v="874.5"/>
  </r>
  <r>
    <s v="2024-09-26"/>
    <x v="0"/>
    <x v="6"/>
    <x v="2"/>
    <n v="4"/>
    <n v="630.79"/>
    <n v="2523.16"/>
  </r>
  <r>
    <s v="2024-05-16"/>
    <x v="3"/>
    <x v="3"/>
    <x v="0"/>
    <n v="13"/>
    <n v="7.64"/>
    <n v="99.32"/>
  </r>
  <r>
    <s v="2024-11-17"/>
    <x v="9"/>
    <x v="10"/>
    <x v="0"/>
    <n v="1"/>
    <n v="2.64"/>
    <n v="2.64"/>
  </r>
  <r>
    <s v="2024-05-12"/>
    <x v="3"/>
    <x v="6"/>
    <x v="2"/>
    <n v="7"/>
    <n v="1071.17"/>
    <n v="7498.1900000000005"/>
  </r>
  <r>
    <s v="2024-05-16"/>
    <x v="3"/>
    <x v="3"/>
    <x v="0"/>
    <n v="11"/>
    <n v="9.6199999999999992"/>
    <n v="105.82"/>
  </r>
  <r>
    <s v="2024-05-04"/>
    <x v="3"/>
    <x v="5"/>
    <x v="1"/>
    <n v="11"/>
    <n v="812.69"/>
    <n v="8939.59"/>
  </r>
  <r>
    <s v="2024-03-18"/>
    <x v="5"/>
    <x v="4"/>
    <x v="2"/>
    <n v="10"/>
    <n v="1245.9000000000001"/>
    <n v="12459"/>
  </r>
  <r>
    <s v="2024-02-01"/>
    <x v="4"/>
    <x v="4"/>
    <x v="2"/>
    <n v="6"/>
    <n v="759.66"/>
    <n v="4557.96"/>
  </r>
  <r>
    <s v="2024-05-16"/>
    <x v="3"/>
    <x v="1"/>
    <x v="0"/>
    <n v="1"/>
    <n v="103.73"/>
    <n v="103.73"/>
  </r>
  <r>
    <s v="2024-01-28"/>
    <x v="7"/>
    <x v="0"/>
    <x v="0"/>
    <n v="3"/>
    <n v="65.06"/>
    <n v="195.18"/>
  </r>
  <r>
    <s v="2024-12-16"/>
    <x v="10"/>
    <x v="1"/>
    <x v="0"/>
    <n v="6"/>
    <n v="48.45"/>
    <n v="290.70000000000005"/>
  </r>
  <r>
    <s v="2024-01-09"/>
    <x v="7"/>
    <x v="3"/>
    <x v="0"/>
    <n v="14"/>
    <n v="5.28"/>
    <n v="73.92"/>
  </r>
  <r>
    <s v="2024-04-28"/>
    <x v="1"/>
    <x v="0"/>
    <x v="0"/>
    <n v="10"/>
    <n v="59.57"/>
    <n v="595.70000000000005"/>
  </r>
  <r>
    <s v="2024-01-29"/>
    <x v="7"/>
    <x v="1"/>
    <x v="0"/>
    <n v="3"/>
    <n v="110.3"/>
    <n v="330.9"/>
  </r>
  <r>
    <s v="2024-11-15"/>
    <x v="9"/>
    <x v="3"/>
    <x v="0"/>
    <n v="9"/>
    <n v="6.87"/>
    <n v="61.83"/>
  </r>
  <r>
    <s v="2024-02-15"/>
    <x v="4"/>
    <x v="10"/>
    <x v="0"/>
    <n v="13"/>
    <n v="7.42"/>
    <n v="96.46"/>
  </r>
  <r>
    <s v="2024-03-06"/>
    <x v="5"/>
    <x v="5"/>
    <x v="1"/>
    <n v="11"/>
    <n v="1864.13"/>
    <n v="20505.43"/>
  </r>
  <r>
    <s v="2024-08-01"/>
    <x v="8"/>
    <x v="3"/>
    <x v="0"/>
    <n v="1"/>
    <n v="3.2"/>
    <n v="3.2"/>
  </r>
  <r>
    <s v="2024-09-13"/>
    <x v="0"/>
    <x v="2"/>
    <x v="1"/>
    <n v="13"/>
    <n v="314.55"/>
    <n v="4089.15"/>
  </r>
  <r>
    <s v="2024-01-05"/>
    <x v="7"/>
    <x v="5"/>
    <x v="1"/>
    <n v="12"/>
    <n v="1632.54"/>
    <n v="19590.48"/>
  </r>
  <r>
    <s v="2024-04-26"/>
    <x v="1"/>
    <x v="5"/>
    <x v="1"/>
    <n v="10"/>
    <n v="1539.18"/>
    <n v="15391.800000000001"/>
  </r>
  <r>
    <s v="2024-10-09"/>
    <x v="2"/>
    <x v="2"/>
    <x v="1"/>
    <n v="2"/>
    <n v="431.02"/>
    <n v="862.04"/>
  </r>
  <r>
    <s v="2024-12-02"/>
    <x v="10"/>
    <x v="11"/>
    <x v="0"/>
    <n v="10"/>
    <n v="13.04"/>
    <n v="130.39999999999998"/>
  </r>
  <r>
    <s v="2024-11-16"/>
    <x v="9"/>
    <x v="10"/>
    <x v="0"/>
    <n v="9"/>
    <n v="2.52"/>
    <n v="22.68"/>
  </r>
  <r>
    <s v="2024-05-24"/>
    <x v="3"/>
    <x v="0"/>
    <x v="0"/>
    <n v="6"/>
    <n v="78.41"/>
    <n v="470.46"/>
  </r>
  <r>
    <s v="2024-01-22"/>
    <x v="7"/>
    <x v="3"/>
    <x v="0"/>
    <n v="3"/>
    <n v="8.77"/>
    <n v="26.31"/>
  </r>
  <r>
    <s v="2024-11-21"/>
    <x v="9"/>
    <x v="2"/>
    <x v="1"/>
    <n v="15"/>
    <n v="552.13"/>
    <n v="8281.9500000000007"/>
  </r>
  <r>
    <s v="2024-09-22"/>
    <x v="0"/>
    <x v="11"/>
    <x v="0"/>
    <n v="14"/>
    <n v="16.86"/>
    <n v="236.04"/>
  </r>
  <r>
    <s v="2024-06-09"/>
    <x v="6"/>
    <x v="5"/>
    <x v="1"/>
    <n v="14"/>
    <n v="1181.6600000000001"/>
    <n v="16543.240000000002"/>
  </r>
  <r>
    <s v="2024-05-14"/>
    <x v="3"/>
    <x v="11"/>
    <x v="0"/>
    <n v="14"/>
    <n v="16.489999999999998"/>
    <n v="230.85999999999999"/>
  </r>
  <r>
    <s v="2024-07-18"/>
    <x v="11"/>
    <x v="10"/>
    <x v="0"/>
    <n v="6"/>
    <n v="5.23"/>
    <n v="31.380000000000003"/>
  </r>
  <r>
    <s v="2024-10-11"/>
    <x v="2"/>
    <x v="9"/>
    <x v="2"/>
    <n v="15"/>
    <n v="843.96"/>
    <n v="12659.400000000001"/>
  </r>
  <r>
    <s v="2024-01-17"/>
    <x v="7"/>
    <x v="5"/>
    <x v="1"/>
    <n v="3"/>
    <n v="1015.78"/>
    <n v="3047.34"/>
  </r>
  <r>
    <s v="2024-01-11"/>
    <x v="7"/>
    <x v="8"/>
    <x v="2"/>
    <n v="9"/>
    <n v="2120.1"/>
    <n v="19080.899999999998"/>
  </r>
  <r>
    <s v="2024-09-16"/>
    <x v="0"/>
    <x v="6"/>
    <x v="2"/>
    <n v="2"/>
    <n v="380.57"/>
    <n v="761.14"/>
  </r>
  <r>
    <s v="2024-07-18"/>
    <x v="11"/>
    <x v="1"/>
    <x v="0"/>
    <n v="5"/>
    <n v="101.23"/>
    <n v="506.15000000000003"/>
  </r>
  <r>
    <s v="2024-01-22"/>
    <x v="7"/>
    <x v="1"/>
    <x v="0"/>
    <n v="15"/>
    <n v="94.41"/>
    <n v="1416.1499999999999"/>
  </r>
  <r>
    <s v="2024-05-21"/>
    <x v="3"/>
    <x v="11"/>
    <x v="0"/>
    <n v="15"/>
    <n v="7.55"/>
    <n v="113.25"/>
  </r>
  <r>
    <s v="2024-11-09"/>
    <x v="9"/>
    <x v="5"/>
    <x v="1"/>
    <n v="10"/>
    <n v="500.21"/>
    <n v="5002.0999999999995"/>
  </r>
  <r>
    <s v="2024-05-17"/>
    <x v="3"/>
    <x v="3"/>
    <x v="0"/>
    <n v="7"/>
    <n v="8.32"/>
    <n v="58.24"/>
  </r>
  <r>
    <s v="2024-04-12"/>
    <x v="1"/>
    <x v="0"/>
    <x v="0"/>
    <n v="6"/>
    <n v="55.4"/>
    <n v="332.4"/>
  </r>
  <r>
    <s v="2024-02-12"/>
    <x v="4"/>
    <x v="2"/>
    <x v="1"/>
    <n v="6"/>
    <n v="351.31"/>
    <n v="2107.86"/>
  </r>
  <r>
    <s v="2024-10-22"/>
    <x v="2"/>
    <x v="5"/>
    <x v="1"/>
    <n v="7"/>
    <n v="997.51"/>
    <n v="6982.57"/>
  </r>
  <r>
    <s v="2024-09-07"/>
    <x v="0"/>
    <x v="4"/>
    <x v="2"/>
    <n v="11"/>
    <n v="1248.8699999999999"/>
    <n v="13737.57"/>
  </r>
  <r>
    <s v="2024-10-05"/>
    <x v="2"/>
    <x v="6"/>
    <x v="2"/>
    <n v="7"/>
    <n v="812.15"/>
    <n v="5685.05"/>
  </r>
  <r>
    <s v="2024-04-27"/>
    <x v="1"/>
    <x v="7"/>
    <x v="0"/>
    <n v="14"/>
    <n v="209.94"/>
    <n v="2939.16"/>
  </r>
  <r>
    <s v="2024-12-13"/>
    <x v="10"/>
    <x v="9"/>
    <x v="2"/>
    <n v="3"/>
    <n v="1262.1099999999999"/>
    <n v="3786.33"/>
  </r>
  <r>
    <s v="2024-03-18"/>
    <x v="5"/>
    <x v="8"/>
    <x v="2"/>
    <n v="8"/>
    <n v="2174.5700000000002"/>
    <n v="17396.560000000001"/>
  </r>
  <r>
    <s v="2024-09-01"/>
    <x v="0"/>
    <x v="7"/>
    <x v="0"/>
    <n v="13"/>
    <n v="115.85"/>
    <n v="1506.05"/>
  </r>
  <r>
    <s v="2024-07-03"/>
    <x v="11"/>
    <x v="3"/>
    <x v="0"/>
    <n v="12"/>
    <n v="9.8000000000000007"/>
    <n v="117.60000000000001"/>
  </r>
  <r>
    <s v="2024-09-27"/>
    <x v="0"/>
    <x v="8"/>
    <x v="2"/>
    <n v="15"/>
    <n v="2227.1"/>
    <n v="33406.5"/>
  </r>
  <r>
    <s v="2024-08-17"/>
    <x v="8"/>
    <x v="4"/>
    <x v="2"/>
    <n v="6"/>
    <n v="830.66"/>
    <n v="4983.96"/>
  </r>
  <r>
    <s v="2024-01-08"/>
    <x v="7"/>
    <x v="9"/>
    <x v="2"/>
    <n v="5"/>
    <n v="801.27"/>
    <n v="4006.35"/>
  </r>
  <r>
    <s v="2024-04-18"/>
    <x v="1"/>
    <x v="8"/>
    <x v="2"/>
    <n v="11"/>
    <n v="1649.55"/>
    <n v="18145.05"/>
  </r>
  <r>
    <s v="2024-05-10"/>
    <x v="3"/>
    <x v="3"/>
    <x v="0"/>
    <n v="8"/>
    <n v="9.4600000000000009"/>
    <n v="75.680000000000007"/>
  </r>
  <r>
    <s v="2024-06-15"/>
    <x v="6"/>
    <x v="6"/>
    <x v="2"/>
    <n v="5"/>
    <n v="1035.49"/>
    <n v="5177.45"/>
  </r>
  <r>
    <s v="2024-01-16"/>
    <x v="7"/>
    <x v="6"/>
    <x v="2"/>
    <n v="15"/>
    <n v="535.38"/>
    <n v="8030.7"/>
  </r>
  <r>
    <s v="2024-10-13"/>
    <x v="2"/>
    <x v="1"/>
    <x v="0"/>
    <n v="4"/>
    <n v="101.06"/>
    <n v="404.24"/>
  </r>
  <r>
    <s v="2024-11-24"/>
    <x v="9"/>
    <x v="4"/>
    <x v="2"/>
    <n v="4"/>
    <n v="343.38"/>
    <n v="1373.52"/>
  </r>
  <r>
    <s v="2024-03-09"/>
    <x v="5"/>
    <x v="8"/>
    <x v="2"/>
    <n v="9"/>
    <n v="1004.63"/>
    <n v="9041.67"/>
  </r>
  <r>
    <s v="2024-06-05"/>
    <x v="6"/>
    <x v="0"/>
    <x v="0"/>
    <n v="14"/>
    <n v="54.17"/>
    <n v="758.38"/>
  </r>
  <r>
    <s v="2024-06-15"/>
    <x v="6"/>
    <x v="3"/>
    <x v="0"/>
    <n v="10"/>
    <n v="3.87"/>
    <n v="38.700000000000003"/>
  </r>
  <r>
    <s v="2024-12-16"/>
    <x v="10"/>
    <x v="6"/>
    <x v="2"/>
    <n v="11"/>
    <n v="615.54999999999995"/>
    <n v="6771.0499999999993"/>
  </r>
  <r>
    <s v="2024-06-26"/>
    <x v="6"/>
    <x v="8"/>
    <x v="2"/>
    <n v="10"/>
    <n v="2438.7399999999998"/>
    <n v="24387.399999999998"/>
  </r>
  <r>
    <s v="2024-04-16"/>
    <x v="1"/>
    <x v="7"/>
    <x v="0"/>
    <n v="10"/>
    <n v="243.78"/>
    <n v="2437.8000000000002"/>
  </r>
  <r>
    <s v="2024-05-05"/>
    <x v="3"/>
    <x v="1"/>
    <x v="0"/>
    <n v="5"/>
    <n v="50.66"/>
    <n v="253.29999999999998"/>
  </r>
  <r>
    <s v="2024-12-08"/>
    <x v="10"/>
    <x v="10"/>
    <x v="0"/>
    <n v="7"/>
    <n v="4.1100000000000003"/>
    <n v="28.770000000000003"/>
  </r>
  <r>
    <s v="2024-01-04"/>
    <x v="7"/>
    <x v="7"/>
    <x v="0"/>
    <n v="15"/>
    <n v="219.87"/>
    <n v="3298.05"/>
  </r>
  <r>
    <s v="2024-04-18"/>
    <x v="1"/>
    <x v="3"/>
    <x v="0"/>
    <n v="7"/>
    <n v="8.3800000000000008"/>
    <n v="58.660000000000004"/>
  </r>
  <r>
    <s v="2024-10-12"/>
    <x v="2"/>
    <x v="11"/>
    <x v="0"/>
    <n v="6"/>
    <n v="15.32"/>
    <n v="91.92"/>
  </r>
  <r>
    <s v="2024-04-13"/>
    <x v="1"/>
    <x v="6"/>
    <x v="2"/>
    <n v="13"/>
    <n v="633.54999999999995"/>
    <n v="8236.15"/>
  </r>
  <r>
    <s v="2024-05-02"/>
    <x v="3"/>
    <x v="3"/>
    <x v="0"/>
    <n v="15"/>
    <n v="3.77"/>
    <n v="56.55"/>
  </r>
  <r>
    <s v="2024-01-15"/>
    <x v="7"/>
    <x v="7"/>
    <x v="0"/>
    <n v="1"/>
    <n v="170.9"/>
    <n v="170.9"/>
  </r>
  <r>
    <s v="2024-09-20"/>
    <x v="0"/>
    <x v="10"/>
    <x v="0"/>
    <n v="15"/>
    <n v="5.72"/>
    <n v="85.8"/>
  </r>
  <r>
    <s v="2024-09-26"/>
    <x v="0"/>
    <x v="4"/>
    <x v="2"/>
    <n v="1"/>
    <n v="1469.54"/>
    <n v="1469.54"/>
  </r>
  <r>
    <s v="2024-10-12"/>
    <x v="2"/>
    <x v="11"/>
    <x v="0"/>
    <n v="11"/>
    <n v="7.96"/>
    <n v="87.56"/>
  </r>
  <r>
    <s v="2024-10-04"/>
    <x v="2"/>
    <x v="3"/>
    <x v="0"/>
    <n v="3"/>
    <n v="4.79"/>
    <n v="14.370000000000001"/>
  </r>
  <r>
    <s v="2024-03-30"/>
    <x v="5"/>
    <x v="8"/>
    <x v="2"/>
    <n v="7"/>
    <n v="2070.48"/>
    <n v="14493.36"/>
  </r>
  <r>
    <s v="2024-09-11"/>
    <x v="0"/>
    <x v="4"/>
    <x v="2"/>
    <n v="5"/>
    <n v="930.59"/>
    <n v="4652.95"/>
  </r>
  <r>
    <s v="2024-03-08"/>
    <x v="5"/>
    <x v="1"/>
    <x v="0"/>
    <n v="12"/>
    <n v="55.99"/>
    <n v="671.88"/>
  </r>
  <r>
    <s v="2024-08-25"/>
    <x v="8"/>
    <x v="3"/>
    <x v="0"/>
    <n v="7"/>
    <n v="7.04"/>
    <n v="49.28"/>
  </r>
  <r>
    <s v="2024-06-02"/>
    <x v="6"/>
    <x v="4"/>
    <x v="2"/>
    <n v="15"/>
    <n v="715.38"/>
    <n v="10730.7"/>
  </r>
  <r>
    <s v="2024-05-02"/>
    <x v="3"/>
    <x v="2"/>
    <x v="1"/>
    <n v="2"/>
    <n v="475.85"/>
    <n v="951.7"/>
  </r>
  <r>
    <s v="2024-05-26"/>
    <x v="3"/>
    <x v="10"/>
    <x v="0"/>
    <n v="5"/>
    <n v="7.52"/>
    <n v="37.599999999999994"/>
  </r>
  <r>
    <s v="2024-10-08"/>
    <x v="2"/>
    <x v="7"/>
    <x v="0"/>
    <n v="13"/>
    <n v="98.58"/>
    <n v="1281.54"/>
  </r>
  <r>
    <s v="2024-12-27"/>
    <x v="10"/>
    <x v="9"/>
    <x v="2"/>
    <n v="3"/>
    <n v="1538.7"/>
    <n v="4616.1000000000004"/>
  </r>
  <r>
    <s v="2024-10-19"/>
    <x v="2"/>
    <x v="5"/>
    <x v="1"/>
    <n v="9"/>
    <n v="1555.57"/>
    <n v="14000.13"/>
  </r>
  <r>
    <s v="2024-02-10"/>
    <x v="4"/>
    <x v="1"/>
    <x v="0"/>
    <n v="3"/>
    <n v="96.95"/>
    <n v="290.85000000000002"/>
  </r>
  <r>
    <s v="2024-10-26"/>
    <x v="2"/>
    <x v="10"/>
    <x v="0"/>
    <n v="13"/>
    <n v="5.44"/>
    <n v="70.72"/>
  </r>
  <r>
    <s v="2024-01-03"/>
    <x v="7"/>
    <x v="6"/>
    <x v="2"/>
    <n v="10"/>
    <n v="722"/>
    <n v="7220"/>
  </r>
  <r>
    <s v="2024-01-09"/>
    <x v="7"/>
    <x v="2"/>
    <x v="1"/>
    <n v="12"/>
    <n v="220.37"/>
    <n v="2644.44"/>
  </r>
  <r>
    <s v="2024-03-28"/>
    <x v="5"/>
    <x v="2"/>
    <x v="1"/>
    <n v="12"/>
    <n v="306.04000000000002"/>
    <n v="3672.4800000000005"/>
  </r>
  <r>
    <s v="2024-07-22"/>
    <x v="11"/>
    <x v="5"/>
    <x v="1"/>
    <n v="2"/>
    <n v="1991.65"/>
    <n v="3983.3"/>
  </r>
  <r>
    <s v="2024-07-17"/>
    <x v="11"/>
    <x v="10"/>
    <x v="0"/>
    <n v="11"/>
    <n v="2.16"/>
    <n v="23.76"/>
  </r>
  <r>
    <s v="2024-10-19"/>
    <x v="2"/>
    <x v="1"/>
    <x v="0"/>
    <n v="7"/>
    <n v="104.26"/>
    <n v="729.82"/>
  </r>
  <r>
    <s v="2024-07-20"/>
    <x v="11"/>
    <x v="6"/>
    <x v="2"/>
    <n v="10"/>
    <n v="1091.1400000000001"/>
    <n v="10911.400000000001"/>
  </r>
  <r>
    <s v="2024-09-10"/>
    <x v="0"/>
    <x v="8"/>
    <x v="2"/>
    <n v="6"/>
    <n v="1528.34"/>
    <n v="9170.0399999999991"/>
  </r>
  <r>
    <s v="2024-09-17"/>
    <x v="0"/>
    <x v="2"/>
    <x v="1"/>
    <n v="5"/>
    <n v="252.09"/>
    <n v="1260.45"/>
  </r>
  <r>
    <s v="2024-07-14"/>
    <x v="11"/>
    <x v="3"/>
    <x v="0"/>
    <n v="8"/>
    <n v="5.73"/>
    <n v="45.84"/>
  </r>
  <r>
    <s v="2024-09-29"/>
    <x v="0"/>
    <x v="10"/>
    <x v="0"/>
    <n v="14"/>
    <n v="4.17"/>
    <n v="58.379999999999995"/>
  </r>
  <r>
    <s v="2024-03-13"/>
    <x v="5"/>
    <x v="1"/>
    <x v="0"/>
    <n v="9"/>
    <n v="84.69"/>
    <n v="762.21"/>
  </r>
  <r>
    <s v="2024-08-29"/>
    <x v="8"/>
    <x v="1"/>
    <x v="0"/>
    <n v="15"/>
    <n v="70.930000000000007"/>
    <n v="1063.95"/>
  </r>
  <r>
    <s v="2024-07-22"/>
    <x v="11"/>
    <x v="0"/>
    <x v="0"/>
    <n v="1"/>
    <n v="63.63"/>
    <n v="63.63"/>
  </r>
  <r>
    <s v="2024-02-22"/>
    <x v="4"/>
    <x v="9"/>
    <x v="2"/>
    <n v="4"/>
    <n v="545.38"/>
    <n v="2181.52"/>
  </r>
  <r>
    <s v="2024-04-29"/>
    <x v="1"/>
    <x v="2"/>
    <x v="1"/>
    <n v="4"/>
    <n v="204.13"/>
    <n v="816.52"/>
  </r>
  <r>
    <s v="2024-02-21"/>
    <x v="4"/>
    <x v="0"/>
    <x v="0"/>
    <n v="8"/>
    <n v="29.19"/>
    <n v="233.52"/>
  </r>
  <r>
    <s v="2024-04-08"/>
    <x v="1"/>
    <x v="7"/>
    <x v="0"/>
    <n v="12"/>
    <n v="116.07"/>
    <n v="1392.84"/>
  </r>
  <r>
    <s v="2024-05-14"/>
    <x v="3"/>
    <x v="10"/>
    <x v="0"/>
    <n v="6"/>
    <n v="5.97"/>
    <n v="35.82"/>
  </r>
  <r>
    <s v="2024-01-26"/>
    <x v="7"/>
    <x v="1"/>
    <x v="0"/>
    <n v="9"/>
    <n v="48.83"/>
    <n v="439.46999999999997"/>
  </r>
  <r>
    <s v="2024-07-17"/>
    <x v="11"/>
    <x v="3"/>
    <x v="0"/>
    <n v="15"/>
    <n v="7.16"/>
    <n v="107.4"/>
  </r>
  <r>
    <s v="2024-11-05"/>
    <x v="9"/>
    <x v="8"/>
    <x v="2"/>
    <n v="6"/>
    <n v="1349.06"/>
    <n v="8094.36"/>
  </r>
  <r>
    <s v="2024-05-23"/>
    <x v="3"/>
    <x v="5"/>
    <x v="1"/>
    <n v="3"/>
    <n v="1749.78"/>
    <n v="5249.34"/>
  </r>
  <r>
    <s v="2024-07-22"/>
    <x v="11"/>
    <x v="10"/>
    <x v="0"/>
    <n v="8"/>
    <n v="4.0999999999999996"/>
    <n v="32.799999999999997"/>
  </r>
  <r>
    <s v="2024-08-17"/>
    <x v="8"/>
    <x v="2"/>
    <x v="1"/>
    <n v="9"/>
    <n v="495.3"/>
    <n v="4457.7"/>
  </r>
  <r>
    <s v="2024-07-08"/>
    <x v="11"/>
    <x v="6"/>
    <x v="2"/>
    <n v="3"/>
    <n v="236.74"/>
    <n v="710.22"/>
  </r>
  <r>
    <s v="2024-05-07"/>
    <x v="3"/>
    <x v="7"/>
    <x v="0"/>
    <n v="1"/>
    <n v="162.85"/>
    <n v="162.85"/>
  </r>
  <r>
    <s v="2024-11-15"/>
    <x v="9"/>
    <x v="2"/>
    <x v="1"/>
    <n v="6"/>
    <n v="265.67"/>
    <n v="1594.02"/>
  </r>
  <r>
    <s v="2024-11-23"/>
    <x v="9"/>
    <x v="6"/>
    <x v="2"/>
    <n v="3"/>
    <n v="1100.24"/>
    <n v="3300.7200000000003"/>
  </r>
  <r>
    <s v="2024-01-16"/>
    <x v="7"/>
    <x v="9"/>
    <x v="2"/>
    <n v="2"/>
    <n v="612.29999999999995"/>
    <n v="1224.5999999999999"/>
  </r>
  <r>
    <s v="2024-03-01"/>
    <x v="5"/>
    <x v="3"/>
    <x v="0"/>
    <n v="14"/>
    <n v="5.66"/>
    <n v="79.240000000000009"/>
  </r>
  <r>
    <s v="2024-03-01"/>
    <x v="5"/>
    <x v="5"/>
    <x v="1"/>
    <n v="6"/>
    <n v="1172.3699999999999"/>
    <n v="7034.2199999999993"/>
  </r>
  <r>
    <s v="2024-12-01"/>
    <x v="10"/>
    <x v="0"/>
    <x v="0"/>
    <n v="10"/>
    <n v="45.02"/>
    <n v="450.20000000000005"/>
  </r>
  <r>
    <s v="2024-11-28"/>
    <x v="9"/>
    <x v="9"/>
    <x v="2"/>
    <n v="12"/>
    <n v="1234.8599999999999"/>
    <n v="14818.32"/>
  </r>
  <r>
    <s v="2024-09-02"/>
    <x v="0"/>
    <x v="7"/>
    <x v="0"/>
    <n v="5"/>
    <n v="174.06"/>
    <n v="870.3"/>
  </r>
  <r>
    <s v="2024-02-03"/>
    <x v="4"/>
    <x v="8"/>
    <x v="2"/>
    <n v="9"/>
    <n v="1627.54"/>
    <n v="14647.86"/>
  </r>
  <r>
    <s v="2024-09-07"/>
    <x v="0"/>
    <x v="10"/>
    <x v="0"/>
    <n v="2"/>
    <n v="5.08"/>
    <n v="10.16"/>
  </r>
  <r>
    <s v="2024-07-31"/>
    <x v="11"/>
    <x v="3"/>
    <x v="0"/>
    <n v="11"/>
    <n v="4.87"/>
    <n v="53.57"/>
  </r>
  <r>
    <s v="2024-11-12"/>
    <x v="9"/>
    <x v="5"/>
    <x v="1"/>
    <n v="3"/>
    <n v="1228.51"/>
    <n v="3685.5299999999997"/>
  </r>
  <r>
    <s v="2024-07-04"/>
    <x v="11"/>
    <x v="5"/>
    <x v="1"/>
    <n v="10"/>
    <n v="1760.88"/>
    <n v="17608.800000000003"/>
  </r>
  <r>
    <s v="2024-01-17"/>
    <x v="7"/>
    <x v="2"/>
    <x v="1"/>
    <n v="14"/>
    <n v="342.53"/>
    <n v="4795.42"/>
  </r>
  <r>
    <s v="2024-04-30"/>
    <x v="1"/>
    <x v="1"/>
    <x v="0"/>
    <n v="8"/>
    <n v="97.91"/>
    <n v="783.28"/>
  </r>
  <r>
    <s v="2024-11-11"/>
    <x v="9"/>
    <x v="9"/>
    <x v="2"/>
    <n v="2"/>
    <n v="658.04"/>
    <n v="1316.08"/>
  </r>
  <r>
    <s v="2024-05-14"/>
    <x v="3"/>
    <x v="6"/>
    <x v="2"/>
    <n v="8"/>
    <n v="1015.46"/>
    <n v="8123.68"/>
  </r>
  <r>
    <s v="2024-06-03"/>
    <x v="6"/>
    <x v="3"/>
    <x v="0"/>
    <n v="13"/>
    <n v="7.67"/>
    <n v="99.71"/>
  </r>
  <r>
    <s v="2024-08-22"/>
    <x v="8"/>
    <x v="10"/>
    <x v="0"/>
    <n v="14"/>
    <n v="2.14"/>
    <n v="29.96"/>
  </r>
  <r>
    <s v="2024-07-08"/>
    <x v="11"/>
    <x v="5"/>
    <x v="1"/>
    <n v="8"/>
    <n v="795.67"/>
    <n v="6365.36"/>
  </r>
  <r>
    <s v="2024-04-11"/>
    <x v="1"/>
    <x v="9"/>
    <x v="2"/>
    <n v="13"/>
    <n v="631"/>
    <n v="8203"/>
  </r>
  <r>
    <s v="2024-07-26"/>
    <x v="11"/>
    <x v="4"/>
    <x v="2"/>
    <n v="7"/>
    <n v="663.87"/>
    <n v="4647.09"/>
  </r>
  <r>
    <s v="2024-09-15"/>
    <x v="0"/>
    <x v="5"/>
    <x v="1"/>
    <n v="6"/>
    <n v="558.92999999999995"/>
    <n v="3353.58"/>
  </r>
  <r>
    <s v="2024-01-13"/>
    <x v="7"/>
    <x v="8"/>
    <x v="2"/>
    <n v="12"/>
    <n v="2288.4899999999998"/>
    <n v="27461.879999999997"/>
  </r>
  <r>
    <s v="2024-03-25"/>
    <x v="5"/>
    <x v="5"/>
    <x v="1"/>
    <n v="6"/>
    <n v="1879.72"/>
    <n v="11278.32"/>
  </r>
  <r>
    <s v="2024-08-09"/>
    <x v="8"/>
    <x v="0"/>
    <x v="0"/>
    <n v="12"/>
    <n v="22.34"/>
    <n v="268.08"/>
  </r>
  <r>
    <s v="2024-06-24"/>
    <x v="6"/>
    <x v="11"/>
    <x v="0"/>
    <n v="3"/>
    <n v="8.4600000000000009"/>
    <n v="25.380000000000003"/>
  </r>
  <r>
    <s v="2024-12-29"/>
    <x v="10"/>
    <x v="1"/>
    <x v="0"/>
    <n v="14"/>
    <n v="73.459999999999994"/>
    <n v="1028.4399999999998"/>
  </r>
  <r>
    <s v="2024-03-04"/>
    <x v="5"/>
    <x v="9"/>
    <x v="2"/>
    <n v="5"/>
    <n v="410.8"/>
    <n v="2054"/>
  </r>
  <r>
    <s v="2024-02-04"/>
    <x v="4"/>
    <x v="7"/>
    <x v="0"/>
    <n v="3"/>
    <n v="139.74"/>
    <n v="419.22"/>
  </r>
  <r>
    <s v="2024-05-17"/>
    <x v="3"/>
    <x v="5"/>
    <x v="1"/>
    <n v="7"/>
    <n v="1021.3"/>
    <n v="7149.0999999999995"/>
  </r>
  <r>
    <s v="2024-03-29"/>
    <x v="5"/>
    <x v="3"/>
    <x v="0"/>
    <n v="2"/>
    <n v="4"/>
    <n v="8"/>
  </r>
  <r>
    <s v="2024-07-18"/>
    <x v="11"/>
    <x v="2"/>
    <x v="1"/>
    <n v="8"/>
    <n v="496.29"/>
    <n v="3970.32"/>
  </r>
  <r>
    <s v="2024-05-16"/>
    <x v="3"/>
    <x v="8"/>
    <x v="2"/>
    <n v="11"/>
    <n v="1606.73"/>
    <n v="17674.03"/>
  </r>
  <r>
    <s v="2024-03-09"/>
    <x v="5"/>
    <x v="6"/>
    <x v="2"/>
    <n v="15"/>
    <n v="1137.8900000000001"/>
    <n v="17068.350000000002"/>
  </r>
  <r>
    <s v="2024-11-10"/>
    <x v="9"/>
    <x v="0"/>
    <x v="0"/>
    <n v="11"/>
    <n v="33.39"/>
    <n v="367.29"/>
  </r>
  <r>
    <s v="2024-10-26"/>
    <x v="2"/>
    <x v="1"/>
    <x v="0"/>
    <n v="15"/>
    <n v="93.22"/>
    <n v="1398.3"/>
  </r>
  <r>
    <s v="2024-11-24"/>
    <x v="9"/>
    <x v="10"/>
    <x v="0"/>
    <n v="9"/>
    <n v="6.68"/>
    <n v="60.12"/>
  </r>
  <r>
    <s v="2024-12-01"/>
    <x v="10"/>
    <x v="11"/>
    <x v="0"/>
    <n v="13"/>
    <n v="5.23"/>
    <n v="67.990000000000009"/>
  </r>
  <r>
    <s v="2024-11-26"/>
    <x v="9"/>
    <x v="3"/>
    <x v="0"/>
    <n v="8"/>
    <n v="4.88"/>
    <n v="39.04"/>
  </r>
  <r>
    <s v="2024-06-08"/>
    <x v="6"/>
    <x v="0"/>
    <x v="0"/>
    <n v="11"/>
    <n v="76.87"/>
    <n v="845.57"/>
  </r>
  <r>
    <s v="2024-08-06"/>
    <x v="8"/>
    <x v="7"/>
    <x v="0"/>
    <n v="4"/>
    <n v="186.88"/>
    <n v="747.52"/>
  </r>
  <r>
    <s v="2024-05-01"/>
    <x v="3"/>
    <x v="3"/>
    <x v="0"/>
    <n v="13"/>
    <n v="4.51"/>
    <n v="58.629999999999995"/>
  </r>
  <r>
    <s v="2024-03-24"/>
    <x v="5"/>
    <x v="0"/>
    <x v="0"/>
    <n v="2"/>
    <n v="74.11"/>
    <n v="148.22"/>
  </r>
  <r>
    <s v="2024-10-24"/>
    <x v="2"/>
    <x v="4"/>
    <x v="2"/>
    <n v="1"/>
    <n v="279.77"/>
    <n v="279.77"/>
  </r>
  <r>
    <s v="2024-11-14"/>
    <x v="9"/>
    <x v="2"/>
    <x v="1"/>
    <n v="2"/>
    <n v="473.82"/>
    <n v="947.64"/>
  </r>
  <r>
    <s v="2024-05-17"/>
    <x v="3"/>
    <x v="0"/>
    <x v="0"/>
    <n v="13"/>
    <n v="37.54"/>
    <n v="488.02"/>
  </r>
  <r>
    <s v="2024-12-16"/>
    <x v="10"/>
    <x v="8"/>
    <x v="2"/>
    <n v="15"/>
    <n v="516.92999999999995"/>
    <n v="7753.9499999999989"/>
  </r>
  <r>
    <s v="2024-12-11"/>
    <x v="10"/>
    <x v="1"/>
    <x v="0"/>
    <n v="7"/>
    <n v="108.01"/>
    <n v="756.07"/>
  </r>
  <r>
    <s v="2024-09-12"/>
    <x v="0"/>
    <x v="7"/>
    <x v="0"/>
    <n v="1"/>
    <n v="186.1"/>
    <n v="186.1"/>
  </r>
  <r>
    <s v="2024-02-09"/>
    <x v="4"/>
    <x v="9"/>
    <x v="2"/>
    <n v="5"/>
    <n v="1140.53"/>
    <n v="5702.65"/>
  </r>
  <r>
    <s v="2024-12-06"/>
    <x v="10"/>
    <x v="5"/>
    <x v="1"/>
    <n v="7"/>
    <n v="590.12"/>
    <n v="4130.84"/>
  </r>
  <r>
    <s v="2024-07-01"/>
    <x v="11"/>
    <x v="10"/>
    <x v="0"/>
    <n v="2"/>
    <n v="3.25"/>
    <n v="6.5"/>
  </r>
  <r>
    <s v="2024-01-08"/>
    <x v="7"/>
    <x v="0"/>
    <x v="0"/>
    <n v="13"/>
    <n v="63.72"/>
    <n v="828.36"/>
  </r>
  <r>
    <s v="2024-02-20"/>
    <x v="4"/>
    <x v="3"/>
    <x v="0"/>
    <n v="11"/>
    <n v="7.34"/>
    <n v="80.739999999999995"/>
  </r>
  <r>
    <s v="2024-04-20"/>
    <x v="1"/>
    <x v="1"/>
    <x v="0"/>
    <n v="11"/>
    <n v="74.540000000000006"/>
    <n v="819.94"/>
  </r>
  <r>
    <s v="2024-05-12"/>
    <x v="3"/>
    <x v="6"/>
    <x v="2"/>
    <n v="6"/>
    <n v="910.96"/>
    <n v="5465.76"/>
  </r>
  <r>
    <s v="2024-02-16"/>
    <x v="4"/>
    <x v="10"/>
    <x v="0"/>
    <n v="8"/>
    <n v="6.21"/>
    <n v="49.68"/>
  </r>
  <r>
    <s v="2024-01-29"/>
    <x v="7"/>
    <x v="3"/>
    <x v="0"/>
    <n v="5"/>
    <n v="8.0500000000000007"/>
    <n v="40.25"/>
  </r>
  <r>
    <s v="2024-07-27"/>
    <x v="11"/>
    <x v="2"/>
    <x v="1"/>
    <n v="14"/>
    <n v="214.37"/>
    <n v="3001.1800000000003"/>
  </r>
  <r>
    <s v="2024-09-20"/>
    <x v="0"/>
    <x v="8"/>
    <x v="2"/>
    <n v="1"/>
    <n v="1869.02"/>
    <n v="1869.02"/>
  </r>
  <r>
    <s v="2024-11-30"/>
    <x v="9"/>
    <x v="5"/>
    <x v="1"/>
    <n v="12"/>
    <n v="1451.23"/>
    <n v="17414.760000000002"/>
  </r>
  <r>
    <s v="2024-07-06"/>
    <x v="11"/>
    <x v="1"/>
    <x v="0"/>
    <n v="8"/>
    <n v="83"/>
    <n v="664"/>
  </r>
  <r>
    <s v="2024-12-02"/>
    <x v="10"/>
    <x v="9"/>
    <x v="2"/>
    <n v="2"/>
    <n v="1096.8699999999999"/>
    <n v="2193.7399999999998"/>
  </r>
  <r>
    <s v="2024-03-30"/>
    <x v="5"/>
    <x v="2"/>
    <x v="1"/>
    <n v="9"/>
    <n v="420.4"/>
    <n v="3783.6"/>
  </r>
  <r>
    <s v="2024-01-15"/>
    <x v="7"/>
    <x v="7"/>
    <x v="0"/>
    <n v="3"/>
    <n v="124.31"/>
    <n v="372.93"/>
  </r>
  <r>
    <s v="2024-02-19"/>
    <x v="4"/>
    <x v="10"/>
    <x v="0"/>
    <n v="15"/>
    <n v="4.5999999999999996"/>
    <n v="69"/>
  </r>
  <r>
    <s v="2024-10-10"/>
    <x v="2"/>
    <x v="5"/>
    <x v="1"/>
    <n v="13"/>
    <n v="1629.38"/>
    <n v="21181.940000000002"/>
  </r>
  <r>
    <s v="2024-01-01"/>
    <x v="7"/>
    <x v="9"/>
    <x v="2"/>
    <n v="1"/>
    <n v="1188.8499999999999"/>
    <n v="1188.8499999999999"/>
  </r>
  <r>
    <s v="2024-05-18"/>
    <x v="3"/>
    <x v="0"/>
    <x v="0"/>
    <n v="12"/>
    <n v="56.22"/>
    <n v="674.64"/>
  </r>
  <r>
    <s v="2024-04-04"/>
    <x v="1"/>
    <x v="5"/>
    <x v="1"/>
    <n v="15"/>
    <n v="942.21"/>
    <n v="14133.150000000001"/>
  </r>
  <r>
    <s v="2024-05-22"/>
    <x v="3"/>
    <x v="5"/>
    <x v="1"/>
    <n v="1"/>
    <n v="933.04"/>
    <n v="933.04"/>
  </r>
  <r>
    <s v="2024-11-30"/>
    <x v="9"/>
    <x v="1"/>
    <x v="0"/>
    <n v="8"/>
    <n v="90.2"/>
    <n v="721.6"/>
  </r>
  <r>
    <s v="2024-04-09"/>
    <x v="1"/>
    <x v="4"/>
    <x v="2"/>
    <n v="4"/>
    <n v="639.91999999999996"/>
    <n v="2559.6799999999998"/>
  </r>
  <r>
    <s v="2024-06-02"/>
    <x v="6"/>
    <x v="0"/>
    <x v="0"/>
    <n v="15"/>
    <n v="58.95"/>
    <n v="884.25"/>
  </r>
  <r>
    <s v="2024-10-12"/>
    <x v="2"/>
    <x v="11"/>
    <x v="0"/>
    <n v="1"/>
    <n v="19.23"/>
    <n v="19.23"/>
  </r>
  <r>
    <s v="2024-11-05"/>
    <x v="9"/>
    <x v="4"/>
    <x v="2"/>
    <n v="2"/>
    <n v="564.75"/>
    <n v="1129.5"/>
  </r>
  <r>
    <s v="2024-10-06"/>
    <x v="2"/>
    <x v="5"/>
    <x v="1"/>
    <n v="8"/>
    <n v="1710.67"/>
    <n v="13685.36"/>
  </r>
  <r>
    <s v="2024-02-10"/>
    <x v="4"/>
    <x v="6"/>
    <x v="2"/>
    <n v="14"/>
    <n v="440.54"/>
    <n v="6167.56"/>
  </r>
  <r>
    <s v="2024-08-16"/>
    <x v="8"/>
    <x v="6"/>
    <x v="2"/>
    <n v="1"/>
    <n v="1142.9000000000001"/>
    <n v="1142.9000000000001"/>
  </r>
  <r>
    <s v="2024-08-05"/>
    <x v="8"/>
    <x v="6"/>
    <x v="2"/>
    <n v="7"/>
    <n v="930.69"/>
    <n v="6514.83"/>
  </r>
  <r>
    <s v="2024-06-07"/>
    <x v="6"/>
    <x v="0"/>
    <x v="0"/>
    <n v="7"/>
    <n v="49.23"/>
    <n v="344.60999999999996"/>
  </r>
  <r>
    <s v="2024-03-14"/>
    <x v="5"/>
    <x v="10"/>
    <x v="0"/>
    <n v="13"/>
    <n v="2.77"/>
    <n v="36.01"/>
  </r>
  <r>
    <s v="2024-04-24"/>
    <x v="1"/>
    <x v="0"/>
    <x v="0"/>
    <n v="1"/>
    <n v="48.72"/>
    <n v="48.72"/>
  </r>
  <r>
    <s v="2024-12-22"/>
    <x v="10"/>
    <x v="5"/>
    <x v="1"/>
    <n v="3"/>
    <n v="1800.9"/>
    <n v="5402.7000000000007"/>
  </r>
  <r>
    <s v="2024-10-13"/>
    <x v="2"/>
    <x v="5"/>
    <x v="1"/>
    <n v="11"/>
    <n v="1028.28"/>
    <n v="11311.08"/>
  </r>
  <r>
    <s v="2024-01-12"/>
    <x v="7"/>
    <x v="7"/>
    <x v="0"/>
    <n v="7"/>
    <n v="134.13999999999999"/>
    <n v="938.9799999999999"/>
  </r>
  <r>
    <s v="2024-11-08"/>
    <x v="9"/>
    <x v="3"/>
    <x v="0"/>
    <n v="12"/>
    <n v="8.6300000000000008"/>
    <n v="103.56"/>
  </r>
  <r>
    <s v="2024-01-30"/>
    <x v="7"/>
    <x v="4"/>
    <x v="2"/>
    <n v="1"/>
    <n v="378.12"/>
    <n v="378.12"/>
  </r>
  <r>
    <s v="2024-12-27"/>
    <x v="10"/>
    <x v="0"/>
    <x v="0"/>
    <n v="9"/>
    <n v="65.13"/>
    <n v="586.16999999999996"/>
  </r>
  <r>
    <s v="2024-11-22"/>
    <x v="9"/>
    <x v="4"/>
    <x v="2"/>
    <n v="1"/>
    <n v="982.96"/>
    <n v="982.96"/>
  </r>
  <r>
    <s v="2024-01-21"/>
    <x v="7"/>
    <x v="11"/>
    <x v="0"/>
    <n v="8"/>
    <n v="9.58"/>
    <n v="76.64"/>
  </r>
  <r>
    <s v="2024-04-17"/>
    <x v="1"/>
    <x v="2"/>
    <x v="1"/>
    <n v="13"/>
    <n v="420.55"/>
    <n v="5467.1500000000005"/>
  </r>
  <r>
    <s v="2024-02-06"/>
    <x v="4"/>
    <x v="3"/>
    <x v="0"/>
    <n v="15"/>
    <n v="3.69"/>
    <n v="55.35"/>
  </r>
  <r>
    <s v="2024-08-07"/>
    <x v="8"/>
    <x v="7"/>
    <x v="0"/>
    <n v="6"/>
    <n v="134.34"/>
    <n v="806.04"/>
  </r>
  <r>
    <s v="2024-11-09"/>
    <x v="9"/>
    <x v="11"/>
    <x v="0"/>
    <n v="3"/>
    <n v="16.96"/>
    <n v="50.88"/>
  </r>
  <r>
    <s v="2024-02-15"/>
    <x v="4"/>
    <x v="4"/>
    <x v="2"/>
    <n v="15"/>
    <n v="480.65"/>
    <n v="7209.75"/>
  </r>
  <r>
    <s v="2024-04-09"/>
    <x v="1"/>
    <x v="8"/>
    <x v="2"/>
    <n v="3"/>
    <n v="1347.36"/>
    <n v="4042.08"/>
  </r>
  <r>
    <s v="2024-04-04"/>
    <x v="1"/>
    <x v="6"/>
    <x v="2"/>
    <n v="10"/>
    <n v="750.48"/>
    <n v="7504.8"/>
  </r>
  <r>
    <s v="2024-11-20"/>
    <x v="9"/>
    <x v="8"/>
    <x v="2"/>
    <n v="11"/>
    <n v="1333.42"/>
    <n v="14667.62"/>
  </r>
  <r>
    <s v="2024-12-08"/>
    <x v="10"/>
    <x v="11"/>
    <x v="0"/>
    <n v="13"/>
    <n v="5.94"/>
    <n v="77.22"/>
  </r>
  <r>
    <s v="2024-04-11"/>
    <x v="1"/>
    <x v="8"/>
    <x v="2"/>
    <n v="13"/>
    <n v="2071.0300000000002"/>
    <n v="26923.390000000003"/>
  </r>
  <r>
    <s v="2024-08-22"/>
    <x v="8"/>
    <x v="8"/>
    <x v="2"/>
    <n v="1"/>
    <n v="2004.04"/>
    <n v="2004.04"/>
  </r>
  <r>
    <s v="2024-07-12"/>
    <x v="11"/>
    <x v="2"/>
    <x v="1"/>
    <n v="6"/>
    <n v="217.52"/>
    <n v="1305.1200000000001"/>
  </r>
  <r>
    <s v="2024-09-04"/>
    <x v="0"/>
    <x v="4"/>
    <x v="2"/>
    <n v="3"/>
    <n v="529.45000000000005"/>
    <n v="1588.3500000000001"/>
  </r>
  <r>
    <s v="2024-06-19"/>
    <x v="6"/>
    <x v="0"/>
    <x v="0"/>
    <n v="5"/>
    <n v="73.34"/>
    <n v="366.70000000000005"/>
  </r>
  <r>
    <s v="2024-08-15"/>
    <x v="8"/>
    <x v="6"/>
    <x v="2"/>
    <n v="11"/>
    <n v="803.24"/>
    <n v="8835.64"/>
  </r>
  <r>
    <s v="2024-08-27"/>
    <x v="8"/>
    <x v="11"/>
    <x v="0"/>
    <n v="1"/>
    <n v="17.760000000000002"/>
    <n v="17.760000000000002"/>
  </r>
  <r>
    <s v="2024-05-20"/>
    <x v="3"/>
    <x v="2"/>
    <x v="1"/>
    <n v="9"/>
    <n v="427.59"/>
    <n v="3848.31"/>
  </r>
  <r>
    <s v="2024-08-19"/>
    <x v="8"/>
    <x v="4"/>
    <x v="2"/>
    <n v="15"/>
    <n v="1489.26"/>
    <n v="22338.9"/>
  </r>
  <r>
    <s v="2024-07-25"/>
    <x v="11"/>
    <x v="3"/>
    <x v="0"/>
    <n v="7"/>
    <n v="5.12"/>
    <n v="35.840000000000003"/>
  </r>
  <r>
    <s v="2024-06-30"/>
    <x v="6"/>
    <x v="10"/>
    <x v="0"/>
    <n v="7"/>
    <n v="3.12"/>
    <n v="21.84"/>
  </r>
  <r>
    <s v="2024-10-08"/>
    <x v="2"/>
    <x v="8"/>
    <x v="2"/>
    <n v="13"/>
    <n v="1069.8499999999999"/>
    <n v="13908.05"/>
  </r>
  <r>
    <s v="2024-03-28"/>
    <x v="5"/>
    <x v="3"/>
    <x v="0"/>
    <n v="2"/>
    <n v="8.6199999999999992"/>
    <n v="17.239999999999998"/>
  </r>
  <r>
    <s v="2024-08-16"/>
    <x v="8"/>
    <x v="0"/>
    <x v="0"/>
    <n v="13"/>
    <n v="50.37"/>
    <n v="654.80999999999995"/>
  </r>
  <r>
    <s v="2024-08-20"/>
    <x v="8"/>
    <x v="7"/>
    <x v="0"/>
    <n v="13"/>
    <n v="80.81"/>
    <n v="1050.53"/>
  </r>
  <r>
    <s v="2024-08-14"/>
    <x v="8"/>
    <x v="3"/>
    <x v="0"/>
    <n v="9"/>
    <n v="8.17"/>
    <n v="73.53"/>
  </r>
  <r>
    <s v="2024-09-15"/>
    <x v="0"/>
    <x v="0"/>
    <x v="0"/>
    <n v="5"/>
    <n v="51.99"/>
    <n v="259.95"/>
  </r>
  <r>
    <s v="2024-07-24"/>
    <x v="11"/>
    <x v="5"/>
    <x v="1"/>
    <n v="9"/>
    <n v="1289.9100000000001"/>
    <n v="11609.19"/>
  </r>
  <r>
    <s v="2024-09-05"/>
    <x v="0"/>
    <x v="4"/>
    <x v="2"/>
    <n v="13"/>
    <n v="1403.34"/>
    <n v="18243.419999999998"/>
  </r>
  <r>
    <s v="2024-06-24"/>
    <x v="6"/>
    <x v="7"/>
    <x v="0"/>
    <n v="15"/>
    <n v="197.41"/>
    <n v="2961.15"/>
  </r>
  <r>
    <s v="2024-04-03"/>
    <x v="1"/>
    <x v="7"/>
    <x v="0"/>
    <n v="9"/>
    <n v="167.38"/>
    <n v="1506.42"/>
  </r>
  <r>
    <s v="2024-12-22"/>
    <x v="10"/>
    <x v="7"/>
    <x v="0"/>
    <n v="13"/>
    <n v="150.51"/>
    <n v="1956.6299999999999"/>
  </r>
  <r>
    <s v="2024-05-29"/>
    <x v="3"/>
    <x v="11"/>
    <x v="0"/>
    <n v="4"/>
    <n v="13.23"/>
    <n v="52.92"/>
  </r>
  <r>
    <s v="2024-09-16"/>
    <x v="0"/>
    <x v="3"/>
    <x v="0"/>
    <n v="9"/>
    <n v="7.83"/>
    <n v="70.47"/>
  </r>
  <r>
    <s v="2024-01-30"/>
    <x v="7"/>
    <x v="9"/>
    <x v="2"/>
    <n v="3"/>
    <n v="1770.63"/>
    <n v="5311.89"/>
  </r>
  <r>
    <s v="2024-02-15"/>
    <x v="4"/>
    <x v="8"/>
    <x v="2"/>
    <n v="1"/>
    <n v="1530.84"/>
    <n v="1530.84"/>
  </r>
  <r>
    <s v="2024-05-22"/>
    <x v="3"/>
    <x v="5"/>
    <x v="1"/>
    <n v="13"/>
    <n v="997.74"/>
    <n v="12970.62"/>
  </r>
  <r>
    <s v="2024-06-29"/>
    <x v="6"/>
    <x v="2"/>
    <x v="1"/>
    <n v="4"/>
    <n v="380.09"/>
    <n v="1520.36"/>
  </r>
  <r>
    <s v="2024-09-18"/>
    <x v="0"/>
    <x v="7"/>
    <x v="0"/>
    <n v="5"/>
    <n v="140.75"/>
    <n v="703.75"/>
  </r>
  <r>
    <s v="2024-10-07"/>
    <x v="2"/>
    <x v="5"/>
    <x v="1"/>
    <n v="6"/>
    <n v="638.12"/>
    <n v="3828.7200000000003"/>
  </r>
  <r>
    <s v="2024-06-25"/>
    <x v="6"/>
    <x v="7"/>
    <x v="0"/>
    <n v="11"/>
    <n v="212.98"/>
    <n v="2342.7799999999997"/>
  </r>
  <r>
    <s v="2024-10-20"/>
    <x v="2"/>
    <x v="8"/>
    <x v="2"/>
    <n v="11"/>
    <n v="746.94"/>
    <n v="8216.34"/>
  </r>
  <r>
    <s v="2024-04-04"/>
    <x v="1"/>
    <x v="0"/>
    <x v="0"/>
    <n v="4"/>
    <n v="30.61"/>
    <n v="122.44"/>
  </r>
  <r>
    <s v="2024-07-04"/>
    <x v="11"/>
    <x v="6"/>
    <x v="2"/>
    <n v="13"/>
    <n v="959.9"/>
    <n v="12478.699999999999"/>
  </r>
  <r>
    <s v="2024-05-05"/>
    <x v="3"/>
    <x v="1"/>
    <x v="0"/>
    <n v="5"/>
    <n v="42.65"/>
    <n v="213.25"/>
  </r>
  <r>
    <s v="2024-04-03"/>
    <x v="1"/>
    <x v="11"/>
    <x v="0"/>
    <n v="3"/>
    <n v="9.43"/>
    <n v="28.29"/>
  </r>
  <r>
    <s v="2024-11-21"/>
    <x v="9"/>
    <x v="7"/>
    <x v="0"/>
    <n v="7"/>
    <n v="216.02"/>
    <n v="1512.14"/>
  </r>
  <r>
    <s v="2024-09-23"/>
    <x v="0"/>
    <x v="7"/>
    <x v="0"/>
    <n v="4"/>
    <n v="141.1"/>
    <n v="564.4"/>
  </r>
  <r>
    <s v="2024-03-04"/>
    <x v="5"/>
    <x v="8"/>
    <x v="2"/>
    <n v="5"/>
    <n v="2306.2399999999998"/>
    <n v="11531.199999999999"/>
  </r>
  <r>
    <s v="2024-12-29"/>
    <x v="10"/>
    <x v="8"/>
    <x v="2"/>
    <n v="4"/>
    <n v="1798.13"/>
    <n v="7192.52"/>
  </r>
  <r>
    <s v="2024-09-25"/>
    <x v="0"/>
    <x v="9"/>
    <x v="2"/>
    <n v="7"/>
    <n v="616.61"/>
    <n v="4316.2700000000004"/>
  </r>
  <r>
    <s v="2024-12-31"/>
    <x v="10"/>
    <x v="5"/>
    <x v="1"/>
    <n v="9"/>
    <n v="1156.44"/>
    <n v="10407.960000000001"/>
  </r>
  <r>
    <s v="2024-09-26"/>
    <x v="0"/>
    <x v="10"/>
    <x v="0"/>
    <n v="8"/>
    <n v="6.4"/>
    <n v="51.2"/>
  </r>
  <r>
    <s v="2024-09-08"/>
    <x v="0"/>
    <x v="4"/>
    <x v="2"/>
    <n v="7"/>
    <n v="1280.7"/>
    <n v="8964.9"/>
  </r>
  <r>
    <s v="2024-05-22"/>
    <x v="3"/>
    <x v="9"/>
    <x v="2"/>
    <n v="13"/>
    <n v="674.15"/>
    <n v="8763.9499999999989"/>
  </r>
  <r>
    <s v="2024-08-01"/>
    <x v="8"/>
    <x v="4"/>
    <x v="2"/>
    <n v="10"/>
    <n v="1150.6500000000001"/>
    <n v="11506.5"/>
  </r>
  <r>
    <s v="2024-06-06"/>
    <x v="6"/>
    <x v="10"/>
    <x v="0"/>
    <n v="15"/>
    <n v="6.98"/>
    <n v="104.7"/>
  </r>
  <r>
    <s v="2024-08-28"/>
    <x v="8"/>
    <x v="9"/>
    <x v="2"/>
    <n v="13"/>
    <n v="487.89"/>
    <n v="6342.57"/>
  </r>
  <r>
    <s v="2024-07-18"/>
    <x v="11"/>
    <x v="10"/>
    <x v="0"/>
    <n v="12"/>
    <n v="6.74"/>
    <n v="80.88"/>
  </r>
  <r>
    <s v="2024-09-11"/>
    <x v="0"/>
    <x v="2"/>
    <x v="1"/>
    <n v="1"/>
    <n v="367.32"/>
    <n v="367.32"/>
  </r>
  <r>
    <s v="2024-12-11"/>
    <x v="10"/>
    <x v="3"/>
    <x v="0"/>
    <n v="7"/>
    <n v="7.07"/>
    <n v="49.49"/>
  </r>
  <r>
    <s v="2024-09-16"/>
    <x v="0"/>
    <x v="9"/>
    <x v="2"/>
    <n v="5"/>
    <n v="830.84"/>
    <n v="4154.2"/>
  </r>
  <r>
    <s v="2024-12-09"/>
    <x v="10"/>
    <x v="0"/>
    <x v="0"/>
    <n v="6"/>
    <n v="22.09"/>
    <n v="132.54"/>
  </r>
  <r>
    <s v="2024-02-21"/>
    <x v="4"/>
    <x v="6"/>
    <x v="2"/>
    <n v="4"/>
    <n v="771.84"/>
    <n v="3087.36"/>
  </r>
  <r>
    <s v="2024-09-06"/>
    <x v="0"/>
    <x v="7"/>
    <x v="0"/>
    <n v="9"/>
    <n v="145.27000000000001"/>
    <n v="1307.43"/>
  </r>
  <r>
    <s v="2024-03-15"/>
    <x v="5"/>
    <x v="1"/>
    <x v="0"/>
    <n v="15"/>
    <n v="87.94"/>
    <n v="1319.1"/>
  </r>
  <r>
    <s v="2024-05-05"/>
    <x v="3"/>
    <x v="1"/>
    <x v="0"/>
    <n v="2"/>
    <n v="90.68"/>
    <n v="181.36"/>
  </r>
  <r>
    <s v="2024-07-23"/>
    <x v="11"/>
    <x v="2"/>
    <x v="1"/>
    <n v="8"/>
    <n v="258.23"/>
    <n v="2065.84"/>
  </r>
  <r>
    <s v="2024-08-13"/>
    <x v="8"/>
    <x v="4"/>
    <x v="2"/>
    <n v="5"/>
    <n v="480.19"/>
    <n v="2400.9499999999998"/>
  </r>
  <r>
    <s v="2024-06-26"/>
    <x v="6"/>
    <x v="10"/>
    <x v="0"/>
    <n v="3"/>
    <n v="5.75"/>
    <n v="17.25"/>
  </r>
  <r>
    <s v="2024-07-26"/>
    <x v="11"/>
    <x v="3"/>
    <x v="0"/>
    <n v="6"/>
    <n v="7.32"/>
    <n v="43.92"/>
  </r>
  <r>
    <s v="2024-10-15"/>
    <x v="2"/>
    <x v="6"/>
    <x v="2"/>
    <n v="7"/>
    <n v="719.63"/>
    <n v="5037.41"/>
  </r>
  <r>
    <s v="2024-08-27"/>
    <x v="8"/>
    <x v="0"/>
    <x v="0"/>
    <n v="12"/>
    <n v="79.37"/>
    <n v="952.44"/>
  </r>
  <r>
    <s v="2024-01-19"/>
    <x v="7"/>
    <x v="5"/>
    <x v="1"/>
    <n v="8"/>
    <n v="1152.3499999999999"/>
    <n v="9218.7999999999993"/>
  </r>
  <r>
    <s v="2024-04-03"/>
    <x v="1"/>
    <x v="8"/>
    <x v="2"/>
    <n v="11"/>
    <n v="532.62"/>
    <n v="5858.82"/>
  </r>
  <r>
    <s v="2024-06-18"/>
    <x v="6"/>
    <x v="9"/>
    <x v="2"/>
    <n v="13"/>
    <n v="596.16999999999996"/>
    <n v="7750.2099999999991"/>
  </r>
  <r>
    <s v="2024-11-29"/>
    <x v="9"/>
    <x v="6"/>
    <x v="2"/>
    <n v="2"/>
    <n v="793.59"/>
    <n v="1587.18"/>
  </r>
  <r>
    <s v="2024-02-20"/>
    <x v="4"/>
    <x v="4"/>
    <x v="2"/>
    <n v="8"/>
    <n v="586.79999999999995"/>
    <n v="4694.3999999999996"/>
  </r>
  <r>
    <s v="2024-05-13"/>
    <x v="3"/>
    <x v="9"/>
    <x v="2"/>
    <n v="7"/>
    <n v="727.1"/>
    <n v="5089.7"/>
  </r>
  <r>
    <s v="2024-06-21"/>
    <x v="6"/>
    <x v="2"/>
    <x v="1"/>
    <n v="15"/>
    <n v="581.74"/>
    <n v="8726.1"/>
  </r>
  <r>
    <s v="2024-10-25"/>
    <x v="2"/>
    <x v="10"/>
    <x v="0"/>
    <n v="1"/>
    <n v="2.06"/>
    <n v="2.06"/>
  </r>
  <r>
    <s v="2024-01-23"/>
    <x v="7"/>
    <x v="9"/>
    <x v="2"/>
    <n v="11"/>
    <n v="1689.2"/>
    <n v="18581.2"/>
  </r>
  <r>
    <s v="2024-10-11"/>
    <x v="2"/>
    <x v="2"/>
    <x v="1"/>
    <n v="7"/>
    <n v="514.19000000000005"/>
    <n v="3599.3300000000004"/>
  </r>
  <r>
    <s v="2024-08-23"/>
    <x v="8"/>
    <x v="3"/>
    <x v="0"/>
    <n v="13"/>
    <n v="5.55"/>
    <n v="72.149999999999991"/>
  </r>
  <r>
    <s v="2024-09-07"/>
    <x v="0"/>
    <x v="9"/>
    <x v="2"/>
    <n v="9"/>
    <n v="1582.53"/>
    <n v="14242.77"/>
  </r>
  <r>
    <s v="2024-06-19"/>
    <x v="6"/>
    <x v="1"/>
    <x v="0"/>
    <n v="8"/>
    <n v="112.4"/>
    <n v="899.2"/>
  </r>
  <r>
    <s v="2024-11-29"/>
    <x v="9"/>
    <x v="9"/>
    <x v="2"/>
    <n v="15"/>
    <n v="695.37"/>
    <n v="10430.549999999999"/>
  </r>
  <r>
    <s v="2024-10-23"/>
    <x v="2"/>
    <x v="5"/>
    <x v="1"/>
    <n v="5"/>
    <n v="974.26"/>
    <n v="4871.3"/>
  </r>
  <r>
    <s v="2024-08-03"/>
    <x v="8"/>
    <x v="2"/>
    <x v="1"/>
    <n v="15"/>
    <n v="596.96"/>
    <n v="8954.4000000000015"/>
  </r>
  <r>
    <s v="2024-02-16"/>
    <x v="4"/>
    <x v="2"/>
    <x v="1"/>
    <n v="13"/>
    <n v="327.33999999999997"/>
    <n v="4255.42"/>
  </r>
  <r>
    <s v="2024-06-13"/>
    <x v="6"/>
    <x v="5"/>
    <x v="1"/>
    <n v="14"/>
    <n v="1489.1"/>
    <n v="20847.399999999998"/>
  </r>
  <r>
    <s v="2024-02-28"/>
    <x v="4"/>
    <x v="11"/>
    <x v="0"/>
    <n v="9"/>
    <n v="14.94"/>
    <n v="134.46"/>
  </r>
  <r>
    <s v="2024-05-05"/>
    <x v="3"/>
    <x v="2"/>
    <x v="1"/>
    <n v="9"/>
    <n v="380.66"/>
    <n v="3425.94"/>
  </r>
  <r>
    <s v="2024-06-17"/>
    <x v="6"/>
    <x v="5"/>
    <x v="1"/>
    <n v="13"/>
    <n v="911.85"/>
    <n v="11854.050000000001"/>
  </r>
  <r>
    <s v="2024-07-10"/>
    <x v="11"/>
    <x v="5"/>
    <x v="1"/>
    <n v="10"/>
    <n v="964.48"/>
    <n v="9644.7999999999993"/>
  </r>
  <r>
    <s v="2024-09-02"/>
    <x v="0"/>
    <x v="3"/>
    <x v="0"/>
    <n v="12"/>
    <n v="6.72"/>
    <n v="80.64"/>
  </r>
  <r>
    <s v="2024-04-21"/>
    <x v="1"/>
    <x v="7"/>
    <x v="0"/>
    <n v="13"/>
    <n v="126.64"/>
    <n v="1646.32"/>
  </r>
  <r>
    <s v="2024-01-11"/>
    <x v="7"/>
    <x v="4"/>
    <x v="2"/>
    <n v="1"/>
    <n v="432.26"/>
    <n v="432.26"/>
  </r>
  <r>
    <s v="2024-10-15"/>
    <x v="2"/>
    <x v="11"/>
    <x v="0"/>
    <n v="12"/>
    <n v="12.46"/>
    <n v="149.52000000000001"/>
  </r>
  <r>
    <s v="2024-03-15"/>
    <x v="5"/>
    <x v="5"/>
    <x v="1"/>
    <n v="7"/>
    <n v="1252.1099999999999"/>
    <n v="8764.7699999999986"/>
  </r>
  <r>
    <s v="2024-06-29"/>
    <x v="6"/>
    <x v="5"/>
    <x v="1"/>
    <n v="6"/>
    <n v="698.07"/>
    <n v="4188.42"/>
  </r>
  <r>
    <s v="2024-07-12"/>
    <x v="11"/>
    <x v="2"/>
    <x v="1"/>
    <n v="14"/>
    <n v="427.94"/>
    <n v="5991.16"/>
  </r>
  <r>
    <s v="2024-03-14"/>
    <x v="5"/>
    <x v="4"/>
    <x v="2"/>
    <n v="13"/>
    <n v="1309.1600000000001"/>
    <n v="17019.080000000002"/>
  </r>
  <r>
    <s v="2024-05-27"/>
    <x v="3"/>
    <x v="0"/>
    <x v="0"/>
    <n v="4"/>
    <n v="38.159999999999997"/>
    <n v="152.63999999999999"/>
  </r>
  <r>
    <s v="2024-09-03"/>
    <x v="0"/>
    <x v="9"/>
    <x v="2"/>
    <n v="7"/>
    <n v="1003.2"/>
    <n v="7022.4000000000005"/>
  </r>
  <r>
    <s v="2024-12-28"/>
    <x v="10"/>
    <x v="9"/>
    <x v="2"/>
    <n v="11"/>
    <n v="1189.3"/>
    <n v="13082.3"/>
  </r>
  <r>
    <s v="2024-03-17"/>
    <x v="5"/>
    <x v="2"/>
    <x v="1"/>
    <n v="10"/>
    <n v="540.98"/>
    <n v="5409.8"/>
  </r>
  <r>
    <s v="2024-08-02"/>
    <x v="8"/>
    <x v="4"/>
    <x v="2"/>
    <n v="4"/>
    <n v="1116.49"/>
    <n v="4465.96"/>
  </r>
  <r>
    <s v="2024-12-13"/>
    <x v="10"/>
    <x v="10"/>
    <x v="0"/>
    <n v="6"/>
    <n v="3.24"/>
    <n v="19.440000000000001"/>
  </r>
  <r>
    <s v="2024-12-25"/>
    <x v="10"/>
    <x v="11"/>
    <x v="0"/>
    <n v="10"/>
    <n v="18.079999999999998"/>
    <n v="180.79999999999998"/>
  </r>
  <r>
    <s v="2024-04-22"/>
    <x v="1"/>
    <x v="5"/>
    <x v="1"/>
    <n v="12"/>
    <n v="1115.1300000000001"/>
    <n v="13381.560000000001"/>
  </r>
  <r>
    <s v="2024-07-12"/>
    <x v="11"/>
    <x v="2"/>
    <x v="1"/>
    <n v="14"/>
    <n v="322.05"/>
    <n v="4508.7"/>
  </r>
  <r>
    <s v="2024-11-21"/>
    <x v="9"/>
    <x v="6"/>
    <x v="2"/>
    <n v="7"/>
    <n v="373.69"/>
    <n v="2615.83"/>
  </r>
  <r>
    <s v="2024-10-27"/>
    <x v="2"/>
    <x v="11"/>
    <x v="0"/>
    <n v="5"/>
    <n v="5.0999999999999996"/>
    <n v="25.5"/>
  </r>
  <r>
    <s v="2024-09-28"/>
    <x v="0"/>
    <x v="10"/>
    <x v="0"/>
    <n v="3"/>
    <n v="3.35"/>
    <n v="10.050000000000001"/>
  </r>
  <r>
    <s v="2024-01-04"/>
    <x v="7"/>
    <x v="9"/>
    <x v="2"/>
    <n v="4"/>
    <n v="1703.16"/>
    <n v="6812.64"/>
  </r>
  <r>
    <s v="2024-11-17"/>
    <x v="9"/>
    <x v="7"/>
    <x v="0"/>
    <n v="3"/>
    <n v="98.34"/>
    <n v="295.02"/>
  </r>
  <r>
    <s v="2024-01-15"/>
    <x v="7"/>
    <x v="1"/>
    <x v="0"/>
    <n v="1"/>
    <n v="112.67"/>
    <n v="112.67"/>
  </r>
  <r>
    <s v="2024-11-09"/>
    <x v="9"/>
    <x v="6"/>
    <x v="2"/>
    <n v="3"/>
    <n v="728.92"/>
    <n v="2186.7599999999998"/>
  </r>
  <r>
    <s v="2024-12-01"/>
    <x v="10"/>
    <x v="8"/>
    <x v="2"/>
    <n v="13"/>
    <n v="2285.09"/>
    <n v="29706.170000000002"/>
  </r>
  <r>
    <s v="2024-09-24"/>
    <x v="0"/>
    <x v="4"/>
    <x v="2"/>
    <n v="12"/>
    <n v="534.26"/>
    <n v="6411.12"/>
  </r>
  <r>
    <s v="2024-01-11"/>
    <x v="7"/>
    <x v="2"/>
    <x v="1"/>
    <n v="3"/>
    <n v="420.77"/>
    <n v="1262.31"/>
  </r>
  <r>
    <s v="2024-01-09"/>
    <x v="7"/>
    <x v="8"/>
    <x v="2"/>
    <n v="8"/>
    <n v="786.91"/>
    <n v="6295.28"/>
  </r>
  <r>
    <s v="2024-01-02"/>
    <x v="7"/>
    <x v="7"/>
    <x v="0"/>
    <n v="7"/>
    <n v="89.56"/>
    <n v="626.92000000000007"/>
  </r>
  <r>
    <s v="2024-01-26"/>
    <x v="7"/>
    <x v="1"/>
    <x v="0"/>
    <n v="10"/>
    <n v="119.52"/>
    <n v="1195.2"/>
  </r>
  <r>
    <s v="2024-10-04"/>
    <x v="2"/>
    <x v="6"/>
    <x v="2"/>
    <n v="10"/>
    <n v="360.9"/>
    <n v="3609"/>
  </r>
  <r>
    <s v="2024-02-17"/>
    <x v="4"/>
    <x v="4"/>
    <x v="2"/>
    <n v="12"/>
    <n v="464.11"/>
    <n v="5569.32"/>
  </r>
  <r>
    <s v="2024-07-12"/>
    <x v="11"/>
    <x v="5"/>
    <x v="1"/>
    <n v="8"/>
    <n v="944.55"/>
    <n v="7556.4"/>
  </r>
  <r>
    <s v="2024-04-26"/>
    <x v="1"/>
    <x v="7"/>
    <x v="0"/>
    <n v="8"/>
    <n v="193.81"/>
    <n v="1550.48"/>
  </r>
  <r>
    <s v="2024-09-15"/>
    <x v="0"/>
    <x v="6"/>
    <x v="2"/>
    <n v="15"/>
    <n v="1120.07"/>
    <n v="16801.05"/>
  </r>
  <r>
    <s v="2024-11-12"/>
    <x v="9"/>
    <x v="2"/>
    <x v="1"/>
    <n v="14"/>
    <n v="506.65"/>
    <n v="7093.0999999999995"/>
  </r>
  <r>
    <s v="2024-02-10"/>
    <x v="4"/>
    <x v="2"/>
    <x v="1"/>
    <n v="12"/>
    <n v="220.13"/>
    <n v="2641.56"/>
  </r>
  <r>
    <s v="2024-08-13"/>
    <x v="8"/>
    <x v="6"/>
    <x v="2"/>
    <n v="6"/>
    <n v="347.63"/>
    <n v="2085.7799999999997"/>
  </r>
  <r>
    <s v="2024-11-29"/>
    <x v="9"/>
    <x v="4"/>
    <x v="2"/>
    <n v="4"/>
    <n v="1238.8"/>
    <n v="4955.2"/>
  </r>
  <r>
    <s v="2024-11-10"/>
    <x v="9"/>
    <x v="10"/>
    <x v="0"/>
    <n v="3"/>
    <n v="6.02"/>
    <n v="18.059999999999999"/>
  </r>
  <r>
    <s v="2024-04-20"/>
    <x v="1"/>
    <x v="5"/>
    <x v="1"/>
    <n v="1"/>
    <n v="1310.6400000000001"/>
    <n v="1310.6400000000001"/>
  </r>
  <r>
    <s v="2024-09-04"/>
    <x v="0"/>
    <x v="5"/>
    <x v="1"/>
    <n v="6"/>
    <n v="1055.9000000000001"/>
    <n v="6335.4000000000005"/>
  </r>
  <r>
    <s v="2024-02-07"/>
    <x v="4"/>
    <x v="11"/>
    <x v="0"/>
    <n v="4"/>
    <n v="14.98"/>
    <n v="59.92"/>
  </r>
  <r>
    <s v="2024-01-05"/>
    <x v="7"/>
    <x v="4"/>
    <x v="2"/>
    <n v="10"/>
    <n v="305.58"/>
    <n v="3055.7999999999997"/>
  </r>
  <r>
    <s v="2024-03-01"/>
    <x v="5"/>
    <x v="10"/>
    <x v="0"/>
    <n v="15"/>
    <n v="5.92"/>
    <n v="88.8"/>
  </r>
  <r>
    <s v="2024-03-27"/>
    <x v="5"/>
    <x v="1"/>
    <x v="0"/>
    <n v="5"/>
    <n v="60.99"/>
    <n v="304.95"/>
  </r>
  <r>
    <s v="2024-12-21"/>
    <x v="10"/>
    <x v="1"/>
    <x v="0"/>
    <n v="13"/>
    <n v="74.010000000000005"/>
    <n v="962.13000000000011"/>
  </r>
  <r>
    <s v="2024-10-26"/>
    <x v="2"/>
    <x v="8"/>
    <x v="2"/>
    <n v="13"/>
    <n v="1890.46"/>
    <n v="24575.98"/>
  </r>
  <r>
    <s v="2024-09-25"/>
    <x v="0"/>
    <x v="9"/>
    <x v="2"/>
    <n v="15"/>
    <n v="1268.06"/>
    <n v="19020.899999999998"/>
  </r>
  <r>
    <s v="2024-05-05"/>
    <x v="3"/>
    <x v="1"/>
    <x v="0"/>
    <n v="13"/>
    <n v="86.71"/>
    <n v="1127.23"/>
  </r>
  <r>
    <s v="2024-05-23"/>
    <x v="3"/>
    <x v="6"/>
    <x v="2"/>
    <n v="7"/>
    <n v="1149.23"/>
    <n v="8044.6100000000006"/>
  </r>
  <r>
    <s v="2024-08-23"/>
    <x v="8"/>
    <x v="5"/>
    <x v="1"/>
    <n v="14"/>
    <n v="1123.06"/>
    <n v="15722.84"/>
  </r>
  <r>
    <s v="2024-03-12"/>
    <x v="5"/>
    <x v="5"/>
    <x v="1"/>
    <n v="8"/>
    <n v="1497.37"/>
    <n v="11978.96"/>
  </r>
  <r>
    <s v="2024-10-02"/>
    <x v="2"/>
    <x v="3"/>
    <x v="0"/>
    <n v="11"/>
    <n v="4.6399999999999997"/>
    <n v="51.04"/>
  </r>
  <r>
    <s v="2024-09-02"/>
    <x v="0"/>
    <x v="8"/>
    <x v="2"/>
    <n v="13"/>
    <n v="1813.46"/>
    <n v="23574.98"/>
  </r>
  <r>
    <s v="2024-11-29"/>
    <x v="9"/>
    <x v="4"/>
    <x v="2"/>
    <n v="8"/>
    <n v="1461.65"/>
    <n v="11693.2"/>
  </r>
  <r>
    <s v="2024-05-01"/>
    <x v="3"/>
    <x v="10"/>
    <x v="0"/>
    <n v="12"/>
    <n v="7.05"/>
    <n v="84.6"/>
  </r>
  <r>
    <s v="2024-03-02"/>
    <x v="5"/>
    <x v="5"/>
    <x v="1"/>
    <n v="5"/>
    <n v="962.82"/>
    <n v="4814.1000000000004"/>
  </r>
  <r>
    <s v="2024-07-23"/>
    <x v="11"/>
    <x v="9"/>
    <x v="2"/>
    <n v="3"/>
    <n v="861.59"/>
    <n v="2584.77"/>
  </r>
  <r>
    <s v="2024-11-07"/>
    <x v="9"/>
    <x v="6"/>
    <x v="2"/>
    <n v="9"/>
    <n v="430.14"/>
    <n v="3871.2599999999998"/>
  </r>
  <r>
    <s v="2024-09-02"/>
    <x v="0"/>
    <x v="2"/>
    <x v="1"/>
    <n v="14"/>
    <n v="344.72"/>
    <n v="4826.08"/>
  </r>
  <r>
    <s v="2024-10-26"/>
    <x v="2"/>
    <x v="8"/>
    <x v="2"/>
    <n v="2"/>
    <n v="991.71"/>
    <n v="1983.42"/>
  </r>
  <r>
    <s v="2024-06-20"/>
    <x v="6"/>
    <x v="9"/>
    <x v="2"/>
    <n v="3"/>
    <n v="1113.47"/>
    <n v="3340.41"/>
  </r>
  <r>
    <s v="2024-01-22"/>
    <x v="7"/>
    <x v="0"/>
    <x v="0"/>
    <n v="5"/>
    <n v="22.7"/>
    <n v="113.5"/>
  </r>
  <r>
    <s v="2024-11-04"/>
    <x v="9"/>
    <x v="10"/>
    <x v="0"/>
    <n v="2"/>
    <n v="3.99"/>
    <n v="7.98"/>
  </r>
  <r>
    <s v="2024-07-30"/>
    <x v="11"/>
    <x v="11"/>
    <x v="0"/>
    <n v="13"/>
    <n v="5.53"/>
    <n v="71.89"/>
  </r>
  <r>
    <s v="2024-01-22"/>
    <x v="7"/>
    <x v="8"/>
    <x v="2"/>
    <n v="4"/>
    <n v="1127.8"/>
    <n v="4511.2"/>
  </r>
  <r>
    <s v="2024-09-10"/>
    <x v="0"/>
    <x v="11"/>
    <x v="0"/>
    <n v="6"/>
    <n v="16.21"/>
    <n v="97.26"/>
  </r>
  <r>
    <s v="2024-11-12"/>
    <x v="9"/>
    <x v="9"/>
    <x v="2"/>
    <n v="13"/>
    <n v="1265.72"/>
    <n v="16454.36"/>
  </r>
  <r>
    <s v="2024-09-27"/>
    <x v="0"/>
    <x v="6"/>
    <x v="2"/>
    <n v="10"/>
    <n v="1087.73"/>
    <n v="10877.3"/>
  </r>
  <r>
    <s v="2024-03-01"/>
    <x v="5"/>
    <x v="0"/>
    <x v="0"/>
    <n v="8"/>
    <n v="21.17"/>
    <n v="169.36"/>
  </r>
  <r>
    <s v="2024-01-04"/>
    <x v="7"/>
    <x v="10"/>
    <x v="0"/>
    <n v="13"/>
    <n v="6.99"/>
    <n v="90.87"/>
  </r>
  <r>
    <s v="2024-12-21"/>
    <x v="10"/>
    <x v="1"/>
    <x v="0"/>
    <n v="9"/>
    <n v="44.03"/>
    <n v="396.27"/>
  </r>
  <r>
    <s v="2024-01-07"/>
    <x v="7"/>
    <x v="1"/>
    <x v="0"/>
    <n v="1"/>
    <n v="105.06"/>
    <n v="105.06"/>
  </r>
  <r>
    <s v="2024-12-15"/>
    <x v="10"/>
    <x v="9"/>
    <x v="2"/>
    <n v="3"/>
    <n v="916.38"/>
    <n v="2749.14"/>
  </r>
  <r>
    <s v="2024-03-29"/>
    <x v="5"/>
    <x v="4"/>
    <x v="2"/>
    <n v="13"/>
    <n v="1112.18"/>
    <n v="14458.34"/>
  </r>
  <r>
    <s v="2024-03-06"/>
    <x v="5"/>
    <x v="10"/>
    <x v="0"/>
    <n v="6"/>
    <n v="5.7"/>
    <n v="34.200000000000003"/>
  </r>
  <r>
    <s v="2024-10-20"/>
    <x v="2"/>
    <x v="6"/>
    <x v="2"/>
    <n v="5"/>
    <n v="212.72"/>
    <n v="1063.5999999999999"/>
  </r>
  <r>
    <s v="2024-08-14"/>
    <x v="8"/>
    <x v="8"/>
    <x v="2"/>
    <n v="12"/>
    <n v="1190.68"/>
    <n v="14288.16"/>
  </r>
  <r>
    <s v="2024-07-09"/>
    <x v="11"/>
    <x v="10"/>
    <x v="0"/>
    <n v="8"/>
    <n v="5.88"/>
    <n v="47.04"/>
  </r>
  <r>
    <s v="2024-12-12"/>
    <x v="10"/>
    <x v="7"/>
    <x v="0"/>
    <n v="10"/>
    <n v="178.13"/>
    <n v="1781.3"/>
  </r>
  <r>
    <s v="2024-04-22"/>
    <x v="1"/>
    <x v="0"/>
    <x v="0"/>
    <n v="15"/>
    <n v="58.4"/>
    <n v="876"/>
  </r>
  <r>
    <s v="2024-10-17"/>
    <x v="2"/>
    <x v="10"/>
    <x v="0"/>
    <n v="5"/>
    <n v="7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06656-B51C-46F4-844F-CE79BDA37E7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:B15" firstHeaderRow="1" firstDataRow="1" firstDataCol="1"/>
  <pivotFields count="7">
    <pivotField showAll="0"/>
    <pivotField axis="axisRow" showAll="0">
      <items count="13">
        <item x="7"/>
        <item x="4"/>
        <item x="5"/>
        <item x="1"/>
        <item x="3"/>
        <item x="6"/>
        <item x="11"/>
        <item x="8"/>
        <item x="0"/>
        <item x="2"/>
        <item x="9"/>
        <item x="10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numFmtId="16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AC41D-1D1A-4408-A374-AA138A9B385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7">
    <pivotField showAll="0"/>
    <pivotField showAll="0">
      <items count="13">
        <item x="7"/>
        <item x="4"/>
        <item x="5"/>
        <item x="1"/>
        <item x="3"/>
        <item x="6"/>
        <item x="11"/>
        <item x="8"/>
        <item x="0"/>
        <item x="2"/>
        <item x="9"/>
        <item x="10"/>
        <item t="default"/>
      </items>
    </pivotField>
    <pivotField axis="axisRow" showAll="0" measureFilter="1">
      <items count="13">
        <item x="5"/>
        <item x="4"/>
        <item x="9"/>
        <item x="10"/>
        <item x="8"/>
        <item x="0"/>
        <item x="6"/>
        <item x="1"/>
        <item x="11"/>
        <item x="3"/>
        <item x="7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dataField="1" numFmtId="164" showAll="0"/>
  </pivotFields>
  <rowFields count="1">
    <field x="2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Sum of Total_Sales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2AEC6-045E-438D-BFC1-4D0339D234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:B6" firstHeaderRow="1" firstDataRow="1" firstDataCol="1"/>
  <pivotFields count="7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6" baseField="0" baseItem="0" numFmtId="164"/>
  </dataFields>
  <chartFormats count="4">
    <chartFormat chart="1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670CE8-CC53-45FC-82CA-C169CE624330}" name="Table1" displayName="Table1" ref="A2:G1502" totalsRowShown="0" headerRowDxfId="11" dataDxfId="9" headerRowBorderDxfId="10" tableBorderDxfId="8" totalsRowBorderDxfId="7">
  <autoFilter ref="A2:G1502" xr:uid="{0D670CE8-CC53-45FC-82CA-C169CE6243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F14D4E3-EFE2-4E93-B490-4DBFCCFD5F23}" name="Date" dataDxfId="6"/>
    <tableColumn id="8" xr3:uid="{675E7640-D0B1-4C5C-AFBF-575EB1AC5E24}" name="Month" dataDxfId="5">
      <calculatedColumnFormula>TEXT(Table1[[#This Row],[Date]], "YYYY-mm")</calculatedColumnFormula>
    </tableColumn>
    <tableColumn id="2" xr3:uid="{44E31E67-21C9-4BA5-B9F7-DE0C4D947F3A}" name="Product" dataDxfId="4"/>
    <tableColumn id="3" xr3:uid="{8B5ED122-D267-43FC-8333-1FB749BEEE1F}" name="Category" dataDxfId="3"/>
    <tableColumn id="4" xr3:uid="{82410F3E-486D-4DFA-ABDA-8F69E15DD79C}" name="Quantity" dataDxfId="2"/>
    <tableColumn id="5" xr3:uid="{C4C8D398-E5FE-4912-9090-96CD34C30674}" name="Price" dataDxfId="1"/>
    <tableColumn id="6" xr3:uid="{0228F62B-C9AE-4542-82FD-70D78254F532}" name="Total_Sales" dataDxfId="0">
      <calculatedColumnFormula>Table1[[#This Row],[Quantity]]*Table1[[#This Row],[Price]]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2"/>
  <sheetViews>
    <sheetView tabSelected="1" zoomScaleNormal="100" workbookViewId="0">
      <selection activeCell="H13" sqref="H13"/>
    </sheetView>
  </sheetViews>
  <sheetFormatPr defaultRowHeight="14.4" x14ac:dyDescent="0.3"/>
  <cols>
    <col min="1" max="2" width="17.21875" customWidth="1"/>
    <col min="3" max="3" width="17.88671875" customWidth="1"/>
    <col min="4" max="4" width="14.44140625" customWidth="1"/>
    <col min="5" max="5" width="14.6640625" customWidth="1"/>
    <col min="6" max="6" width="14.109375" customWidth="1"/>
    <col min="7" max="7" width="23.109375" customWidth="1"/>
    <col min="8" max="8" width="12.44140625" customWidth="1"/>
    <col min="11" max="11" width="18" customWidth="1"/>
    <col min="12" max="12" width="16.77734375" customWidth="1"/>
  </cols>
  <sheetData>
    <row r="1" spans="1:12" ht="33" customHeight="1" x14ac:dyDescent="0.3">
      <c r="A1" s="18" t="s">
        <v>402</v>
      </c>
      <c r="B1" s="19"/>
      <c r="C1" s="19"/>
      <c r="D1" s="19"/>
      <c r="E1" s="19"/>
      <c r="F1" s="19"/>
      <c r="G1" s="19"/>
    </row>
    <row r="2" spans="1:12" ht="37.049999999999997" customHeight="1" x14ac:dyDescent="0.3">
      <c r="A2" s="5" t="s">
        <v>0</v>
      </c>
      <c r="B2" s="5" t="s">
        <v>389</v>
      </c>
      <c r="C2" s="6" t="s">
        <v>1</v>
      </c>
      <c r="D2" s="6" t="s">
        <v>2</v>
      </c>
      <c r="E2" s="6" t="s">
        <v>3</v>
      </c>
      <c r="F2" s="6" t="s">
        <v>4</v>
      </c>
      <c r="G2" s="7" t="s">
        <v>5</v>
      </c>
    </row>
    <row r="3" spans="1:12" ht="21" customHeight="1" x14ac:dyDescent="0.3">
      <c r="A3" s="1" t="s">
        <v>6</v>
      </c>
      <c r="B3" s="1" t="str">
        <f>TEXT(Table1[[#This Row],[Date]], "YYYY-mm")</f>
        <v>2024-09</v>
      </c>
      <c r="C3" s="2" t="s">
        <v>7</v>
      </c>
      <c r="D3" s="2" t="s">
        <v>8</v>
      </c>
      <c r="E3" s="2">
        <v>8</v>
      </c>
      <c r="F3" s="2">
        <v>32.4</v>
      </c>
      <c r="G3" s="8">
        <f>Table1[[#This Row],[Quantity]]*Table1[[#This Row],[Price]]</f>
        <v>259.2</v>
      </c>
    </row>
    <row r="4" spans="1:12" ht="21" customHeight="1" x14ac:dyDescent="0.45">
      <c r="A4" s="3" t="s">
        <v>9</v>
      </c>
      <c r="B4" s="3" t="str">
        <f>TEXT(Table1[[#This Row],[Date]], "YYYY-mm")</f>
        <v>2024-04</v>
      </c>
      <c r="C4" s="4" t="s">
        <v>10</v>
      </c>
      <c r="D4" s="4" t="s">
        <v>8</v>
      </c>
      <c r="E4" s="4">
        <v>6</v>
      </c>
      <c r="F4" s="4">
        <v>62.99</v>
      </c>
      <c r="G4" s="9">
        <f>Table1[[#This Row],[Quantity]]*Table1[[#This Row],[Price]]</f>
        <v>377.94</v>
      </c>
      <c r="K4" s="10"/>
    </row>
    <row r="5" spans="1:12" ht="21" customHeight="1" x14ac:dyDescent="0.45">
      <c r="A5" s="1" t="s">
        <v>11</v>
      </c>
      <c r="B5" s="1" t="str">
        <f>TEXT(Table1[[#This Row],[Date]], "YYYY-mm")</f>
        <v>2024-10</v>
      </c>
      <c r="C5" s="2" t="s">
        <v>12</v>
      </c>
      <c r="D5" s="2" t="s">
        <v>13</v>
      </c>
      <c r="E5" s="2">
        <v>1</v>
      </c>
      <c r="F5" s="2">
        <v>533.87</v>
      </c>
      <c r="G5" s="8">
        <f>Table1[[#This Row],[Quantity]]*Table1[[#This Row],[Price]]</f>
        <v>533.87</v>
      </c>
      <c r="I5" s="15"/>
      <c r="K5" s="10"/>
    </row>
    <row r="6" spans="1:12" ht="21" customHeight="1" x14ac:dyDescent="0.3">
      <c r="A6" s="3" t="s">
        <v>14</v>
      </c>
      <c r="B6" s="3" t="str">
        <f>TEXT(Table1[[#This Row],[Date]], "YYYY-mm")</f>
        <v>2024-05</v>
      </c>
      <c r="C6" s="4" t="s">
        <v>15</v>
      </c>
      <c r="D6" s="4" t="s">
        <v>8</v>
      </c>
      <c r="E6" s="4">
        <v>12</v>
      </c>
      <c r="F6" s="4">
        <v>5.36</v>
      </c>
      <c r="G6" s="9">
        <f>Table1[[#This Row],[Quantity]]*Table1[[#This Row],[Price]]</f>
        <v>64.320000000000007</v>
      </c>
    </row>
    <row r="7" spans="1:12" ht="21" customHeight="1" x14ac:dyDescent="0.3">
      <c r="A7" s="1" t="s">
        <v>16</v>
      </c>
      <c r="B7" s="1" t="str">
        <f>TEXT(Table1[[#This Row],[Date]], "YYYY-mm")</f>
        <v>2024-02</v>
      </c>
      <c r="C7" s="2" t="s">
        <v>7</v>
      </c>
      <c r="D7" s="2" t="s">
        <v>8</v>
      </c>
      <c r="E7" s="2">
        <v>15</v>
      </c>
      <c r="F7" s="2">
        <v>21.23</v>
      </c>
      <c r="G7" s="8">
        <f>Table1[[#This Row],[Quantity]]*Table1[[#This Row],[Price]]</f>
        <v>318.45</v>
      </c>
      <c r="K7" s="11" t="s">
        <v>383</v>
      </c>
      <c r="L7" s="16">
        <f>SUM(Table1[Total_Sales])</f>
        <v>6174451.9099999992</v>
      </c>
    </row>
    <row r="8" spans="1:12" ht="21" customHeight="1" x14ac:dyDescent="0.3">
      <c r="A8" s="3" t="s">
        <v>17</v>
      </c>
      <c r="B8" s="3" t="str">
        <f>TEXT(Table1[[#This Row],[Date]], "YYYY-mm")</f>
        <v>2024-10</v>
      </c>
      <c r="C8" s="4" t="s">
        <v>18</v>
      </c>
      <c r="D8" s="4" t="s">
        <v>19</v>
      </c>
      <c r="E8" s="4">
        <v>8</v>
      </c>
      <c r="F8" s="4">
        <v>935.38</v>
      </c>
      <c r="G8" s="9">
        <f>Table1[[#This Row],[Quantity]]*Table1[[#This Row],[Price]]</f>
        <v>7483.04</v>
      </c>
      <c r="K8" s="11" t="s">
        <v>384</v>
      </c>
      <c r="L8" s="16">
        <f>L7/1500</f>
        <v>4116.3012733333326</v>
      </c>
    </row>
    <row r="9" spans="1:12" ht="21" customHeight="1" x14ac:dyDescent="0.3">
      <c r="A9" s="1" t="s">
        <v>20</v>
      </c>
      <c r="B9" s="1" t="str">
        <f>TEXT(Table1[[#This Row],[Date]], "YYYY-mm")</f>
        <v>2024-10</v>
      </c>
      <c r="C9" s="2" t="s">
        <v>10</v>
      </c>
      <c r="D9" s="2" t="s">
        <v>8</v>
      </c>
      <c r="E9" s="2">
        <v>14</v>
      </c>
      <c r="F9" s="2">
        <v>112.09</v>
      </c>
      <c r="G9" s="8">
        <f>Table1[[#This Row],[Quantity]]*Table1[[#This Row],[Price]]</f>
        <v>1569.26</v>
      </c>
      <c r="K9" s="11" t="s">
        <v>385</v>
      </c>
      <c r="L9" s="17">
        <f>COUNTA(Table1[Product])</f>
        <v>1500</v>
      </c>
    </row>
    <row r="10" spans="1:12" ht="21" customHeight="1" x14ac:dyDescent="0.3">
      <c r="A10" s="3" t="s">
        <v>21</v>
      </c>
      <c r="B10" s="3" t="str">
        <f>TEXT(Table1[[#This Row],[Date]], "YYYY-mm")</f>
        <v>2024-03</v>
      </c>
      <c r="C10" s="4" t="s">
        <v>22</v>
      </c>
      <c r="D10" s="4" t="s">
        <v>13</v>
      </c>
      <c r="E10" s="4">
        <v>7</v>
      </c>
      <c r="F10" s="4">
        <v>1753.71</v>
      </c>
      <c r="G10" s="9">
        <f>Table1[[#This Row],[Quantity]]*Table1[[#This Row],[Price]]</f>
        <v>12275.970000000001</v>
      </c>
    </row>
    <row r="11" spans="1:12" ht="21" customHeight="1" x14ac:dyDescent="0.3">
      <c r="A11" s="1" t="s">
        <v>23</v>
      </c>
      <c r="B11" s="1" t="str">
        <f>TEXT(Table1[[#This Row],[Date]], "YYYY-mm")</f>
        <v>2024-05</v>
      </c>
      <c r="C11" s="2" t="s">
        <v>10</v>
      </c>
      <c r="D11" s="2" t="s">
        <v>8</v>
      </c>
      <c r="E11" s="2">
        <v>9</v>
      </c>
      <c r="F11" s="2">
        <v>112.16</v>
      </c>
      <c r="G11" s="8">
        <f>Table1[[#This Row],[Quantity]]*Table1[[#This Row],[Price]]</f>
        <v>1009.4399999999999</v>
      </c>
    </row>
    <row r="12" spans="1:12" ht="21" customHeight="1" x14ac:dyDescent="0.3">
      <c r="A12" s="3" t="s">
        <v>24</v>
      </c>
      <c r="B12" s="3" t="str">
        <f>TEXT(Table1[[#This Row],[Date]], "YYYY-mm")</f>
        <v>2024-06</v>
      </c>
      <c r="C12" s="4" t="s">
        <v>25</v>
      </c>
      <c r="D12" s="4" t="s">
        <v>19</v>
      </c>
      <c r="E12" s="4">
        <v>11</v>
      </c>
      <c r="F12" s="4">
        <v>1034.96</v>
      </c>
      <c r="G12" s="9">
        <f>Table1[[#This Row],[Quantity]]*Table1[[#This Row],[Price]]</f>
        <v>11384.560000000001</v>
      </c>
    </row>
    <row r="13" spans="1:12" ht="21" customHeight="1" x14ac:dyDescent="0.3">
      <c r="A13" s="1" t="s">
        <v>26</v>
      </c>
      <c r="B13" s="1" t="str">
        <f>TEXT(Table1[[#This Row],[Date]], "YYYY-mm")</f>
        <v>2024-01</v>
      </c>
      <c r="C13" s="2" t="s">
        <v>27</v>
      </c>
      <c r="D13" s="2" t="s">
        <v>8</v>
      </c>
      <c r="E13" s="2">
        <v>3</v>
      </c>
      <c r="F13" s="2">
        <v>208.1</v>
      </c>
      <c r="G13" s="8">
        <f>Table1[[#This Row],[Quantity]]*Table1[[#This Row],[Price]]</f>
        <v>624.29999999999995</v>
      </c>
    </row>
    <row r="14" spans="1:12" ht="21" customHeight="1" x14ac:dyDescent="0.3">
      <c r="A14" s="3" t="s">
        <v>28</v>
      </c>
      <c r="B14" s="3" t="str">
        <f>TEXT(Table1[[#This Row],[Date]], "YYYY-mm")</f>
        <v>2024-02</v>
      </c>
      <c r="C14" s="4" t="s">
        <v>29</v>
      </c>
      <c r="D14" s="4" t="s">
        <v>19</v>
      </c>
      <c r="E14" s="4">
        <v>15</v>
      </c>
      <c r="F14" s="4">
        <v>2186.9499999999998</v>
      </c>
      <c r="G14" s="9">
        <f>Table1[[#This Row],[Quantity]]*Table1[[#This Row],[Price]]</f>
        <v>32804.25</v>
      </c>
    </row>
    <row r="15" spans="1:12" ht="21" customHeight="1" x14ac:dyDescent="0.3">
      <c r="A15" s="1" t="s">
        <v>30</v>
      </c>
      <c r="B15" s="1" t="str">
        <f>TEXT(Table1[[#This Row],[Date]], "YYYY-mm")</f>
        <v>2024-06</v>
      </c>
      <c r="C15" s="2" t="s">
        <v>7</v>
      </c>
      <c r="D15" s="2" t="s">
        <v>8</v>
      </c>
      <c r="E15" s="2">
        <v>12</v>
      </c>
      <c r="F15" s="2">
        <v>38.85</v>
      </c>
      <c r="G15" s="8">
        <f>Table1[[#This Row],[Quantity]]*Table1[[#This Row],[Price]]</f>
        <v>466.20000000000005</v>
      </c>
    </row>
    <row r="16" spans="1:12" ht="21" customHeight="1" x14ac:dyDescent="0.3">
      <c r="A16" s="3" t="s">
        <v>31</v>
      </c>
      <c r="B16" s="3" t="str">
        <f>TEXT(Table1[[#This Row],[Date]], "YYYY-mm")</f>
        <v>2024-08</v>
      </c>
      <c r="C16" s="4" t="s">
        <v>18</v>
      </c>
      <c r="D16" s="4" t="s">
        <v>19</v>
      </c>
      <c r="E16" s="4">
        <v>12</v>
      </c>
      <c r="F16" s="4">
        <v>494.81</v>
      </c>
      <c r="G16" s="9">
        <f>Table1[[#This Row],[Quantity]]*Table1[[#This Row],[Price]]</f>
        <v>5937.72</v>
      </c>
    </row>
    <row r="17" spans="1:7" ht="21" customHeight="1" x14ac:dyDescent="0.3">
      <c r="A17" s="1" t="s">
        <v>32</v>
      </c>
      <c r="B17" s="1" t="str">
        <f>TEXT(Table1[[#This Row],[Date]], "YYYY-mm")</f>
        <v>2024-11</v>
      </c>
      <c r="C17" s="2" t="s">
        <v>7</v>
      </c>
      <c r="D17" s="2" t="s">
        <v>8</v>
      </c>
      <c r="E17" s="2">
        <v>14</v>
      </c>
      <c r="F17" s="2">
        <v>76.77</v>
      </c>
      <c r="G17" s="8">
        <f>Table1[[#This Row],[Quantity]]*Table1[[#This Row],[Price]]</f>
        <v>1074.78</v>
      </c>
    </row>
    <row r="18" spans="1:7" ht="21" customHeight="1" x14ac:dyDescent="0.3">
      <c r="A18" s="3" t="s">
        <v>33</v>
      </c>
      <c r="B18" s="3" t="str">
        <f>TEXT(Table1[[#This Row],[Date]], "YYYY-mm")</f>
        <v>2024-03</v>
      </c>
      <c r="C18" s="4" t="s">
        <v>34</v>
      </c>
      <c r="D18" s="4" t="s">
        <v>19</v>
      </c>
      <c r="E18" s="4">
        <v>4</v>
      </c>
      <c r="F18" s="4">
        <v>700.5</v>
      </c>
      <c r="G18" s="9">
        <f>Table1[[#This Row],[Quantity]]*Table1[[#This Row],[Price]]</f>
        <v>2802</v>
      </c>
    </row>
    <row r="19" spans="1:7" ht="21" customHeight="1" x14ac:dyDescent="0.3">
      <c r="A19" s="1" t="s">
        <v>35</v>
      </c>
      <c r="B19" s="1" t="str">
        <f>TEXT(Table1[[#This Row],[Date]], "YYYY-mm")</f>
        <v>2024-08</v>
      </c>
      <c r="C19" s="2" t="s">
        <v>29</v>
      </c>
      <c r="D19" s="2" t="s">
        <v>19</v>
      </c>
      <c r="E19" s="2">
        <v>14</v>
      </c>
      <c r="F19" s="2">
        <v>1735.63</v>
      </c>
      <c r="G19" s="8">
        <f>Table1[[#This Row],[Quantity]]*Table1[[#This Row],[Price]]</f>
        <v>24298.82</v>
      </c>
    </row>
    <row r="20" spans="1:7" ht="21" customHeight="1" x14ac:dyDescent="0.3">
      <c r="A20" s="3" t="s">
        <v>36</v>
      </c>
      <c r="B20" s="3" t="str">
        <f>TEXT(Table1[[#This Row],[Date]], "YYYY-mm")</f>
        <v>2024-08</v>
      </c>
      <c r="C20" s="4" t="s">
        <v>27</v>
      </c>
      <c r="D20" s="4" t="s">
        <v>8</v>
      </c>
      <c r="E20" s="4">
        <v>5</v>
      </c>
      <c r="F20" s="4">
        <v>170.11</v>
      </c>
      <c r="G20" s="9">
        <f>Table1[[#This Row],[Quantity]]*Table1[[#This Row],[Price]]</f>
        <v>850.55000000000007</v>
      </c>
    </row>
    <row r="21" spans="1:7" ht="21" customHeight="1" x14ac:dyDescent="0.3">
      <c r="A21" s="1" t="s">
        <v>37</v>
      </c>
      <c r="B21" s="1" t="str">
        <f>TEXT(Table1[[#This Row],[Date]], "YYYY-mm")</f>
        <v>2024-04</v>
      </c>
      <c r="C21" s="2" t="s">
        <v>25</v>
      </c>
      <c r="D21" s="2" t="s">
        <v>19</v>
      </c>
      <c r="E21" s="2">
        <v>2</v>
      </c>
      <c r="F21" s="2">
        <v>640.47</v>
      </c>
      <c r="G21" s="8">
        <f>Table1[[#This Row],[Quantity]]*Table1[[#This Row],[Price]]</f>
        <v>1280.94</v>
      </c>
    </row>
    <row r="22" spans="1:7" ht="21" customHeight="1" x14ac:dyDescent="0.3">
      <c r="A22" s="3" t="s">
        <v>38</v>
      </c>
      <c r="B22" s="3" t="str">
        <f>TEXT(Table1[[#This Row],[Date]], "YYYY-mm")</f>
        <v>2024-06</v>
      </c>
      <c r="C22" s="4" t="s">
        <v>39</v>
      </c>
      <c r="D22" s="4" t="s">
        <v>8</v>
      </c>
      <c r="E22" s="4">
        <v>6</v>
      </c>
      <c r="F22" s="4">
        <v>7.43</v>
      </c>
      <c r="G22" s="9">
        <f>Table1[[#This Row],[Quantity]]*Table1[[#This Row],[Price]]</f>
        <v>44.58</v>
      </c>
    </row>
    <row r="23" spans="1:7" ht="21" customHeight="1" x14ac:dyDescent="0.3">
      <c r="A23" s="1" t="s">
        <v>40</v>
      </c>
      <c r="B23" s="1" t="str">
        <f>TEXT(Table1[[#This Row],[Date]], "YYYY-mm")</f>
        <v>2024-09</v>
      </c>
      <c r="C23" s="2" t="s">
        <v>27</v>
      </c>
      <c r="D23" s="2" t="s">
        <v>8</v>
      </c>
      <c r="E23" s="2">
        <v>8</v>
      </c>
      <c r="F23" s="2">
        <v>196.3</v>
      </c>
      <c r="G23" s="8">
        <f>Table1[[#This Row],[Quantity]]*Table1[[#This Row],[Price]]</f>
        <v>1570.4</v>
      </c>
    </row>
    <row r="24" spans="1:7" ht="21" customHeight="1" x14ac:dyDescent="0.3">
      <c r="A24" s="3" t="s">
        <v>9</v>
      </c>
      <c r="B24" s="3" t="str">
        <f>TEXT(Table1[[#This Row],[Date]], "YYYY-mm")</f>
        <v>2024-04</v>
      </c>
      <c r="C24" s="4" t="s">
        <v>22</v>
      </c>
      <c r="D24" s="4" t="s">
        <v>13</v>
      </c>
      <c r="E24" s="4">
        <v>8</v>
      </c>
      <c r="F24" s="4">
        <v>1586.83</v>
      </c>
      <c r="G24" s="9">
        <f>Table1[[#This Row],[Quantity]]*Table1[[#This Row],[Price]]</f>
        <v>12694.64</v>
      </c>
    </row>
    <row r="25" spans="1:7" ht="21" customHeight="1" x14ac:dyDescent="0.3">
      <c r="A25" s="1" t="s">
        <v>41</v>
      </c>
      <c r="B25" s="1" t="str">
        <f>TEXT(Table1[[#This Row],[Date]], "YYYY-mm")</f>
        <v>2024-02</v>
      </c>
      <c r="C25" s="2" t="s">
        <v>18</v>
      </c>
      <c r="D25" s="2" t="s">
        <v>19</v>
      </c>
      <c r="E25" s="2">
        <v>5</v>
      </c>
      <c r="F25" s="2">
        <v>311.95</v>
      </c>
      <c r="G25" s="8">
        <f>Table1[[#This Row],[Quantity]]*Table1[[#This Row],[Price]]</f>
        <v>1559.75</v>
      </c>
    </row>
    <row r="26" spans="1:7" ht="21" customHeight="1" x14ac:dyDescent="0.3">
      <c r="A26" s="3" t="s">
        <v>42</v>
      </c>
      <c r="B26" s="3" t="str">
        <f>TEXT(Table1[[#This Row],[Date]], "YYYY-mm")</f>
        <v>2024-12</v>
      </c>
      <c r="C26" s="4" t="s">
        <v>10</v>
      </c>
      <c r="D26" s="4" t="s">
        <v>8</v>
      </c>
      <c r="E26" s="4">
        <v>11</v>
      </c>
      <c r="F26" s="4">
        <v>111.68</v>
      </c>
      <c r="G26" s="9">
        <f>Table1[[#This Row],[Quantity]]*Table1[[#This Row],[Price]]</f>
        <v>1228.48</v>
      </c>
    </row>
    <row r="27" spans="1:7" ht="21" customHeight="1" x14ac:dyDescent="0.3">
      <c r="A27" s="1" t="s">
        <v>43</v>
      </c>
      <c r="B27" s="1" t="str">
        <f>TEXT(Table1[[#This Row],[Date]], "YYYY-mm")</f>
        <v>2024-05</v>
      </c>
      <c r="C27" s="2" t="s">
        <v>18</v>
      </c>
      <c r="D27" s="2" t="s">
        <v>19</v>
      </c>
      <c r="E27" s="2">
        <v>4</v>
      </c>
      <c r="F27" s="2">
        <v>798.27</v>
      </c>
      <c r="G27" s="8">
        <f>Table1[[#This Row],[Quantity]]*Table1[[#This Row],[Price]]</f>
        <v>3193.08</v>
      </c>
    </row>
    <row r="28" spans="1:7" ht="21" customHeight="1" x14ac:dyDescent="0.3">
      <c r="A28" s="3" t="s">
        <v>23</v>
      </c>
      <c r="B28" s="3" t="str">
        <f>TEXT(Table1[[#This Row],[Date]], "YYYY-mm")</f>
        <v>2024-05</v>
      </c>
      <c r="C28" s="4" t="s">
        <v>44</v>
      </c>
      <c r="D28" s="4" t="s">
        <v>8</v>
      </c>
      <c r="E28" s="4">
        <v>12</v>
      </c>
      <c r="F28" s="4">
        <v>15.65</v>
      </c>
      <c r="G28" s="9">
        <f>Table1[[#This Row],[Quantity]]*Table1[[#This Row],[Price]]</f>
        <v>187.8</v>
      </c>
    </row>
    <row r="29" spans="1:7" ht="21" customHeight="1" x14ac:dyDescent="0.3">
      <c r="A29" s="1" t="s">
        <v>45</v>
      </c>
      <c r="B29" s="1" t="str">
        <f>TEXT(Table1[[#This Row],[Date]], "YYYY-mm")</f>
        <v>2024-03</v>
      </c>
      <c r="C29" s="2" t="s">
        <v>44</v>
      </c>
      <c r="D29" s="2" t="s">
        <v>8</v>
      </c>
      <c r="E29" s="2">
        <v>1</v>
      </c>
      <c r="F29" s="2">
        <v>14.87</v>
      </c>
      <c r="G29" s="8">
        <f>Table1[[#This Row],[Quantity]]*Table1[[#This Row],[Price]]</f>
        <v>14.87</v>
      </c>
    </row>
    <row r="30" spans="1:7" ht="21" customHeight="1" x14ac:dyDescent="0.3">
      <c r="A30" s="3" t="s">
        <v>46</v>
      </c>
      <c r="B30" s="3" t="str">
        <f>TEXT(Table1[[#This Row],[Date]], "YYYY-mm")</f>
        <v>2024-05</v>
      </c>
      <c r="C30" s="4" t="s">
        <v>44</v>
      </c>
      <c r="D30" s="4" t="s">
        <v>8</v>
      </c>
      <c r="E30" s="4">
        <v>10</v>
      </c>
      <c r="F30" s="4">
        <v>12.18</v>
      </c>
      <c r="G30" s="9">
        <f>Table1[[#This Row],[Quantity]]*Table1[[#This Row],[Price]]</f>
        <v>121.8</v>
      </c>
    </row>
    <row r="31" spans="1:7" ht="21" customHeight="1" x14ac:dyDescent="0.3">
      <c r="A31" s="1" t="s">
        <v>47</v>
      </c>
      <c r="B31" s="1" t="str">
        <f>TEXT(Table1[[#This Row],[Date]], "YYYY-mm")</f>
        <v>2024-09</v>
      </c>
      <c r="C31" s="2" t="s">
        <v>10</v>
      </c>
      <c r="D31" s="2" t="s">
        <v>8</v>
      </c>
      <c r="E31" s="2">
        <v>5</v>
      </c>
      <c r="F31" s="2">
        <v>77.239999999999995</v>
      </c>
      <c r="G31" s="8">
        <f>Table1[[#This Row],[Quantity]]*Table1[[#This Row],[Price]]</f>
        <v>386.2</v>
      </c>
    </row>
    <row r="32" spans="1:7" ht="21" customHeight="1" x14ac:dyDescent="0.3">
      <c r="A32" s="3" t="s">
        <v>48</v>
      </c>
      <c r="B32" s="3" t="str">
        <f>TEXT(Table1[[#This Row],[Date]], "YYYY-mm")</f>
        <v>2024-02</v>
      </c>
      <c r="C32" s="4" t="s">
        <v>27</v>
      </c>
      <c r="D32" s="4" t="s">
        <v>8</v>
      </c>
      <c r="E32" s="4">
        <v>6</v>
      </c>
      <c r="F32" s="4">
        <v>210.04</v>
      </c>
      <c r="G32" s="9">
        <f>Table1[[#This Row],[Quantity]]*Table1[[#This Row],[Price]]</f>
        <v>1260.24</v>
      </c>
    </row>
    <row r="33" spans="1:7" ht="21" customHeight="1" x14ac:dyDescent="0.3">
      <c r="A33" s="1" t="s">
        <v>49</v>
      </c>
      <c r="B33" s="1" t="str">
        <f>TEXT(Table1[[#This Row],[Date]], "YYYY-mm")</f>
        <v>2024-01</v>
      </c>
      <c r="C33" s="2" t="s">
        <v>12</v>
      </c>
      <c r="D33" s="2" t="s">
        <v>13</v>
      </c>
      <c r="E33" s="2">
        <v>11</v>
      </c>
      <c r="F33" s="2">
        <v>157.01</v>
      </c>
      <c r="G33" s="8">
        <f>Table1[[#This Row],[Quantity]]*Table1[[#This Row],[Price]]</f>
        <v>1727.11</v>
      </c>
    </row>
    <row r="34" spans="1:7" ht="21" customHeight="1" x14ac:dyDescent="0.3">
      <c r="A34" s="3" t="s">
        <v>50</v>
      </c>
      <c r="B34" s="3" t="str">
        <f>TEXT(Table1[[#This Row],[Date]], "YYYY-mm")</f>
        <v>2024-08</v>
      </c>
      <c r="C34" s="4" t="s">
        <v>12</v>
      </c>
      <c r="D34" s="4" t="s">
        <v>13</v>
      </c>
      <c r="E34" s="4">
        <v>10</v>
      </c>
      <c r="F34" s="4">
        <v>313.05</v>
      </c>
      <c r="G34" s="9">
        <f>Table1[[#This Row],[Quantity]]*Table1[[#This Row],[Price]]</f>
        <v>3130.5</v>
      </c>
    </row>
    <row r="35" spans="1:7" ht="21" customHeight="1" x14ac:dyDescent="0.3">
      <c r="A35" s="1" t="s">
        <v>51</v>
      </c>
      <c r="B35" s="1" t="str">
        <f>TEXT(Table1[[#This Row],[Date]], "YYYY-mm")</f>
        <v>2024-12</v>
      </c>
      <c r="C35" s="2" t="s">
        <v>29</v>
      </c>
      <c r="D35" s="2" t="s">
        <v>19</v>
      </c>
      <c r="E35" s="2">
        <v>15</v>
      </c>
      <c r="F35" s="2">
        <v>1885.81</v>
      </c>
      <c r="G35" s="8">
        <f>Table1[[#This Row],[Quantity]]*Table1[[#This Row],[Price]]</f>
        <v>28287.149999999998</v>
      </c>
    </row>
    <row r="36" spans="1:7" ht="21" customHeight="1" x14ac:dyDescent="0.3">
      <c r="A36" s="3" t="s">
        <v>52</v>
      </c>
      <c r="B36" s="3" t="str">
        <f>TEXT(Table1[[#This Row],[Date]], "YYYY-mm")</f>
        <v>2024-12</v>
      </c>
      <c r="C36" s="4" t="s">
        <v>18</v>
      </c>
      <c r="D36" s="4" t="s">
        <v>19</v>
      </c>
      <c r="E36" s="4">
        <v>7</v>
      </c>
      <c r="F36" s="4">
        <v>1319.15</v>
      </c>
      <c r="G36" s="9">
        <f>Table1[[#This Row],[Quantity]]*Table1[[#This Row],[Price]]</f>
        <v>9234.0500000000011</v>
      </c>
    </row>
    <row r="37" spans="1:7" ht="21" customHeight="1" x14ac:dyDescent="0.3">
      <c r="A37" s="1" t="s">
        <v>53</v>
      </c>
      <c r="B37" s="1" t="str">
        <f>TEXT(Table1[[#This Row],[Date]], "YYYY-mm")</f>
        <v>2024-05</v>
      </c>
      <c r="C37" s="2" t="s">
        <v>22</v>
      </c>
      <c r="D37" s="2" t="s">
        <v>13</v>
      </c>
      <c r="E37" s="2">
        <v>9</v>
      </c>
      <c r="F37" s="2">
        <v>589.19000000000005</v>
      </c>
      <c r="G37" s="8">
        <f>Table1[[#This Row],[Quantity]]*Table1[[#This Row],[Price]]</f>
        <v>5302.7100000000009</v>
      </c>
    </row>
    <row r="38" spans="1:7" ht="21" customHeight="1" x14ac:dyDescent="0.3">
      <c r="A38" s="3" t="s">
        <v>54</v>
      </c>
      <c r="B38" s="3" t="str">
        <f>TEXT(Table1[[#This Row],[Date]], "YYYY-mm")</f>
        <v>2024-06</v>
      </c>
      <c r="C38" s="4" t="s">
        <v>10</v>
      </c>
      <c r="D38" s="4" t="s">
        <v>8</v>
      </c>
      <c r="E38" s="4">
        <v>15</v>
      </c>
      <c r="F38" s="4">
        <v>67.260000000000005</v>
      </c>
      <c r="G38" s="9">
        <f>Table1[[#This Row],[Quantity]]*Table1[[#This Row],[Price]]</f>
        <v>1008.9000000000001</v>
      </c>
    </row>
    <row r="39" spans="1:7" ht="21" customHeight="1" x14ac:dyDescent="0.3">
      <c r="A39" s="1" t="s">
        <v>55</v>
      </c>
      <c r="B39" s="1" t="str">
        <f>TEXT(Table1[[#This Row],[Date]], "YYYY-mm")</f>
        <v>2024-12</v>
      </c>
      <c r="C39" s="2" t="s">
        <v>27</v>
      </c>
      <c r="D39" s="2" t="s">
        <v>8</v>
      </c>
      <c r="E39" s="2">
        <v>12</v>
      </c>
      <c r="F39" s="2">
        <v>119.14</v>
      </c>
      <c r="G39" s="8">
        <f>Table1[[#This Row],[Quantity]]*Table1[[#This Row],[Price]]</f>
        <v>1429.68</v>
      </c>
    </row>
    <row r="40" spans="1:7" ht="21" customHeight="1" x14ac:dyDescent="0.3">
      <c r="A40" s="3" t="s">
        <v>56</v>
      </c>
      <c r="B40" s="3" t="str">
        <f>TEXT(Table1[[#This Row],[Date]], "YYYY-mm")</f>
        <v>2024-06</v>
      </c>
      <c r="C40" s="4" t="s">
        <v>18</v>
      </c>
      <c r="D40" s="4" t="s">
        <v>19</v>
      </c>
      <c r="E40" s="4">
        <v>15</v>
      </c>
      <c r="F40" s="4">
        <v>324.14999999999998</v>
      </c>
      <c r="G40" s="9">
        <f>Table1[[#This Row],[Quantity]]*Table1[[#This Row],[Price]]</f>
        <v>4862.25</v>
      </c>
    </row>
    <row r="41" spans="1:7" ht="21" customHeight="1" x14ac:dyDescent="0.3">
      <c r="A41" s="1" t="s">
        <v>57</v>
      </c>
      <c r="B41" s="1" t="str">
        <f>TEXT(Table1[[#This Row],[Date]], "YYYY-mm")</f>
        <v>2024-07</v>
      </c>
      <c r="C41" s="2" t="s">
        <v>27</v>
      </c>
      <c r="D41" s="2" t="s">
        <v>8</v>
      </c>
      <c r="E41" s="2">
        <v>3</v>
      </c>
      <c r="F41" s="2">
        <v>100.22</v>
      </c>
      <c r="G41" s="8">
        <f>Table1[[#This Row],[Quantity]]*Table1[[#This Row],[Price]]</f>
        <v>300.65999999999997</v>
      </c>
    </row>
    <row r="42" spans="1:7" ht="21" customHeight="1" x14ac:dyDescent="0.3">
      <c r="A42" s="3" t="s">
        <v>58</v>
      </c>
      <c r="B42" s="3" t="str">
        <f>TEXT(Table1[[#This Row],[Date]], "YYYY-mm")</f>
        <v>2024-01</v>
      </c>
      <c r="C42" s="4" t="s">
        <v>22</v>
      </c>
      <c r="D42" s="4" t="s">
        <v>13</v>
      </c>
      <c r="E42" s="4">
        <v>1</v>
      </c>
      <c r="F42" s="4">
        <v>1243.07</v>
      </c>
      <c r="G42" s="9">
        <f>Table1[[#This Row],[Quantity]]*Table1[[#This Row],[Price]]</f>
        <v>1243.07</v>
      </c>
    </row>
    <row r="43" spans="1:7" ht="21" customHeight="1" x14ac:dyDescent="0.3">
      <c r="A43" s="1" t="s">
        <v>59</v>
      </c>
      <c r="B43" s="1" t="str">
        <f>TEXT(Table1[[#This Row],[Date]], "YYYY-mm")</f>
        <v>2024-10</v>
      </c>
      <c r="C43" s="2" t="s">
        <v>25</v>
      </c>
      <c r="D43" s="2" t="s">
        <v>19</v>
      </c>
      <c r="E43" s="2">
        <v>6</v>
      </c>
      <c r="F43" s="2">
        <v>782.36</v>
      </c>
      <c r="G43" s="8">
        <f>Table1[[#This Row],[Quantity]]*Table1[[#This Row],[Price]]</f>
        <v>4694.16</v>
      </c>
    </row>
    <row r="44" spans="1:7" ht="21" customHeight="1" x14ac:dyDescent="0.3">
      <c r="A44" s="3" t="s">
        <v>60</v>
      </c>
      <c r="B44" s="3" t="str">
        <f>TEXT(Table1[[#This Row],[Date]], "YYYY-mm")</f>
        <v>2024-11</v>
      </c>
      <c r="C44" s="4" t="s">
        <v>15</v>
      </c>
      <c r="D44" s="4" t="s">
        <v>8</v>
      </c>
      <c r="E44" s="4">
        <v>8</v>
      </c>
      <c r="F44" s="4">
        <v>6.87</v>
      </c>
      <c r="G44" s="9">
        <f>Table1[[#This Row],[Quantity]]*Table1[[#This Row],[Price]]</f>
        <v>54.96</v>
      </c>
    </row>
    <row r="45" spans="1:7" ht="21" customHeight="1" x14ac:dyDescent="0.3">
      <c r="A45" s="1" t="s">
        <v>61</v>
      </c>
      <c r="B45" s="1" t="str">
        <f>TEXT(Table1[[#This Row],[Date]], "YYYY-mm")</f>
        <v>2024-05</v>
      </c>
      <c r="C45" s="2" t="s">
        <v>7</v>
      </c>
      <c r="D45" s="2" t="s">
        <v>8</v>
      </c>
      <c r="E45" s="2">
        <v>4</v>
      </c>
      <c r="F45" s="2">
        <v>33.72</v>
      </c>
      <c r="G45" s="8">
        <f>Table1[[#This Row],[Quantity]]*Table1[[#This Row],[Price]]</f>
        <v>134.88</v>
      </c>
    </row>
    <row r="46" spans="1:7" ht="21" customHeight="1" x14ac:dyDescent="0.3">
      <c r="A46" s="3" t="s">
        <v>23</v>
      </c>
      <c r="B46" s="3" t="str">
        <f>TEXT(Table1[[#This Row],[Date]], "YYYY-mm")</f>
        <v>2024-05</v>
      </c>
      <c r="C46" s="4" t="s">
        <v>25</v>
      </c>
      <c r="D46" s="4" t="s">
        <v>19</v>
      </c>
      <c r="E46" s="4">
        <v>5</v>
      </c>
      <c r="F46" s="4">
        <v>413.2</v>
      </c>
      <c r="G46" s="9">
        <f>Table1[[#This Row],[Quantity]]*Table1[[#This Row],[Price]]</f>
        <v>2066</v>
      </c>
    </row>
    <row r="47" spans="1:7" ht="21" customHeight="1" x14ac:dyDescent="0.3">
      <c r="A47" s="1" t="s">
        <v>62</v>
      </c>
      <c r="B47" s="1" t="str">
        <f>TEXT(Table1[[#This Row],[Date]], "YYYY-mm")</f>
        <v>2024-05</v>
      </c>
      <c r="C47" s="2" t="s">
        <v>27</v>
      </c>
      <c r="D47" s="2" t="s">
        <v>8</v>
      </c>
      <c r="E47" s="2">
        <v>9</v>
      </c>
      <c r="F47" s="2">
        <v>195.66</v>
      </c>
      <c r="G47" s="8">
        <f>Table1[[#This Row],[Quantity]]*Table1[[#This Row],[Price]]</f>
        <v>1760.94</v>
      </c>
    </row>
    <row r="48" spans="1:7" ht="21" customHeight="1" x14ac:dyDescent="0.3">
      <c r="A48" s="3" t="s">
        <v>9</v>
      </c>
      <c r="B48" s="3" t="str">
        <f>TEXT(Table1[[#This Row],[Date]], "YYYY-mm")</f>
        <v>2024-04</v>
      </c>
      <c r="C48" s="4" t="s">
        <v>27</v>
      </c>
      <c r="D48" s="4" t="s">
        <v>8</v>
      </c>
      <c r="E48" s="4">
        <v>11</v>
      </c>
      <c r="F48" s="4">
        <v>244.38</v>
      </c>
      <c r="G48" s="9">
        <f>Table1[[#This Row],[Quantity]]*Table1[[#This Row],[Price]]</f>
        <v>2688.18</v>
      </c>
    </row>
    <row r="49" spans="1:7" ht="21" customHeight="1" x14ac:dyDescent="0.3">
      <c r="A49" s="1" t="s">
        <v>63</v>
      </c>
      <c r="B49" s="1" t="str">
        <f>TEXT(Table1[[#This Row],[Date]], "YYYY-mm")</f>
        <v>2024-07</v>
      </c>
      <c r="C49" s="2" t="s">
        <v>10</v>
      </c>
      <c r="D49" s="2" t="s">
        <v>8</v>
      </c>
      <c r="E49" s="2">
        <v>10</v>
      </c>
      <c r="F49" s="2">
        <v>82.67</v>
      </c>
      <c r="G49" s="8">
        <f>Table1[[#This Row],[Quantity]]*Table1[[#This Row],[Price]]</f>
        <v>826.7</v>
      </c>
    </row>
    <row r="50" spans="1:7" ht="21" customHeight="1" x14ac:dyDescent="0.3">
      <c r="A50" s="3" t="s">
        <v>64</v>
      </c>
      <c r="B50" s="3" t="str">
        <f>TEXT(Table1[[#This Row],[Date]], "YYYY-mm")</f>
        <v>2024-06</v>
      </c>
      <c r="C50" s="4" t="s">
        <v>27</v>
      </c>
      <c r="D50" s="4" t="s">
        <v>8</v>
      </c>
      <c r="E50" s="4">
        <v>12</v>
      </c>
      <c r="F50" s="4">
        <v>182.32</v>
      </c>
      <c r="G50" s="9">
        <f>Table1[[#This Row],[Quantity]]*Table1[[#This Row],[Price]]</f>
        <v>2187.84</v>
      </c>
    </row>
    <row r="51" spans="1:7" ht="21" customHeight="1" x14ac:dyDescent="0.3">
      <c r="A51" s="1" t="s">
        <v>65</v>
      </c>
      <c r="B51" s="1" t="str">
        <f>TEXT(Table1[[#This Row],[Date]], "YYYY-mm")</f>
        <v>2024-04</v>
      </c>
      <c r="C51" s="2" t="s">
        <v>34</v>
      </c>
      <c r="D51" s="2" t="s">
        <v>19</v>
      </c>
      <c r="E51" s="2">
        <v>6</v>
      </c>
      <c r="F51" s="2">
        <v>786.54</v>
      </c>
      <c r="G51" s="8">
        <f>Table1[[#This Row],[Quantity]]*Table1[[#This Row],[Price]]</f>
        <v>4719.24</v>
      </c>
    </row>
    <row r="52" spans="1:7" ht="21" customHeight="1" x14ac:dyDescent="0.3">
      <c r="A52" s="3" t="s">
        <v>66</v>
      </c>
      <c r="B52" s="3" t="str">
        <f>TEXT(Table1[[#This Row],[Date]], "YYYY-mm")</f>
        <v>2024-02</v>
      </c>
      <c r="C52" s="4" t="s">
        <v>22</v>
      </c>
      <c r="D52" s="4" t="s">
        <v>13</v>
      </c>
      <c r="E52" s="4">
        <v>2</v>
      </c>
      <c r="F52" s="4">
        <v>716.91</v>
      </c>
      <c r="G52" s="9">
        <f>Table1[[#This Row],[Quantity]]*Table1[[#This Row],[Price]]</f>
        <v>1433.82</v>
      </c>
    </row>
    <row r="53" spans="1:7" ht="21" customHeight="1" x14ac:dyDescent="0.3">
      <c r="A53" s="1" t="s">
        <v>67</v>
      </c>
      <c r="B53" s="1" t="str">
        <f>TEXT(Table1[[#This Row],[Date]], "YYYY-mm")</f>
        <v>2024-05</v>
      </c>
      <c r="C53" s="2" t="s">
        <v>27</v>
      </c>
      <c r="D53" s="2" t="s">
        <v>8</v>
      </c>
      <c r="E53" s="2">
        <v>11</v>
      </c>
      <c r="F53" s="2">
        <v>128.76</v>
      </c>
      <c r="G53" s="8">
        <f>Table1[[#This Row],[Quantity]]*Table1[[#This Row],[Price]]</f>
        <v>1416.36</v>
      </c>
    </row>
    <row r="54" spans="1:7" ht="21" customHeight="1" x14ac:dyDescent="0.3">
      <c r="A54" s="3" t="s">
        <v>68</v>
      </c>
      <c r="B54" s="3" t="str">
        <f>TEXT(Table1[[#This Row],[Date]], "YYYY-mm")</f>
        <v>2024-07</v>
      </c>
      <c r="C54" s="4" t="s">
        <v>22</v>
      </c>
      <c r="D54" s="4" t="s">
        <v>13</v>
      </c>
      <c r="E54" s="4">
        <v>13</v>
      </c>
      <c r="F54" s="4">
        <v>510.35</v>
      </c>
      <c r="G54" s="9">
        <f>Table1[[#This Row],[Quantity]]*Table1[[#This Row],[Price]]</f>
        <v>6634.55</v>
      </c>
    </row>
    <row r="55" spans="1:7" ht="21" customHeight="1" x14ac:dyDescent="0.3">
      <c r="A55" s="1" t="s">
        <v>69</v>
      </c>
      <c r="B55" s="1" t="str">
        <f>TEXT(Table1[[#This Row],[Date]], "YYYY-mm")</f>
        <v>2024-03</v>
      </c>
      <c r="C55" s="2" t="s">
        <v>12</v>
      </c>
      <c r="D55" s="2" t="s">
        <v>13</v>
      </c>
      <c r="E55" s="2">
        <v>10</v>
      </c>
      <c r="F55" s="2">
        <v>550.32000000000005</v>
      </c>
      <c r="G55" s="8">
        <f>Table1[[#This Row],[Quantity]]*Table1[[#This Row],[Price]]</f>
        <v>5503.2000000000007</v>
      </c>
    </row>
    <row r="56" spans="1:7" ht="21" customHeight="1" x14ac:dyDescent="0.3">
      <c r="A56" s="3" t="s">
        <v>70</v>
      </c>
      <c r="B56" s="3" t="str">
        <f>TEXT(Table1[[#This Row],[Date]], "YYYY-mm")</f>
        <v>2024-06</v>
      </c>
      <c r="C56" s="4" t="s">
        <v>34</v>
      </c>
      <c r="D56" s="4" t="s">
        <v>19</v>
      </c>
      <c r="E56" s="4">
        <v>12</v>
      </c>
      <c r="F56" s="4">
        <v>1093.3399999999999</v>
      </c>
      <c r="G56" s="9">
        <f>Table1[[#This Row],[Quantity]]*Table1[[#This Row],[Price]]</f>
        <v>13120.079999999998</v>
      </c>
    </row>
    <row r="57" spans="1:7" ht="21" customHeight="1" x14ac:dyDescent="0.3">
      <c r="A57" s="1" t="s">
        <v>71</v>
      </c>
      <c r="B57" s="1" t="str">
        <f>TEXT(Table1[[#This Row],[Date]], "YYYY-mm")</f>
        <v>2024-02</v>
      </c>
      <c r="C57" s="2" t="s">
        <v>27</v>
      </c>
      <c r="D57" s="2" t="s">
        <v>8</v>
      </c>
      <c r="E57" s="2">
        <v>8</v>
      </c>
      <c r="F57" s="2">
        <v>127.11</v>
      </c>
      <c r="G57" s="8">
        <f>Table1[[#This Row],[Quantity]]*Table1[[#This Row],[Price]]</f>
        <v>1016.88</v>
      </c>
    </row>
    <row r="58" spans="1:7" ht="21" customHeight="1" x14ac:dyDescent="0.3">
      <c r="A58" s="3" t="s">
        <v>72</v>
      </c>
      <c r="B58" s="3" t="str">
        <f>TEXT(Table1[[#This Row],[Date]], "YYYY-mm")</f>
        <v>2024-09</v>
      </c>
      <c r="C58" s="4" t="s">
        <v>12</v>
      </c>
      <c r="D58" s="4" t="s">
        <v>13</v>
      </c>
      <c r="E58" s="4">
        <v>13</v>
      </c>
      <c r="F58" s="4">
        <v>214.63</v>
      </c>
      <c r="G58" s="9">
        <f>Table1[[#This Row],[Quantity]]*Table1[[#This Row],[Price]]</f>
        <v>2790.19</v>
      </c>
    </row>
    <row r="59" spans="1:7" ht="21" customHeight="1" x14ac:dyDescent="0.3">
      <c r="A59" s="1" t="s">
        <v>73</v>
      </c>
      <c r="B59" s="1" t="str">
        <f>TEXT(Table1[[#This Row],[Date]], "YYYY-mm")</f>
        <v>2024-07</v>
      </c>
      <c r="C59" s="2" t="s">
        <v>25</v>
      </c>
      <c r="D59" s="2" t="s">
        <v>19</v>
      </c>
      <c r="E59" s="2">
        <v>1</v>
      </c>
      <c r="F59" s="2">
        <v>949.67</v>
      </c>
      <c r="G59" s="8">
        <f>Table1[[#This Row],[Quantity]]*Table1[[#This Row],[Price]]</f>
        <v>949.67</v>
      </c>
    </row>
    <row r="60" spans="1:7" ht="21" customHeight="1" x14ac:dyDescent="0.3">
      <c r="A60" s="3" t="s">
        <v>74</v>
      </c>
      <c r="B60" s="3" t="str">
        <f>TEXT(Table1[[#This Row],[Date]], "YYYY-mm")</f>
        <v>2024-03</v>
      </c>
      <c r="C60" s="4" t="s">
        <v>44</v>
      </c>
      <c r="D60" s="4" t="s">
        <v>8</v>
      </c>
      <c r="E60" s="4">
        <v>7</v>
      </c>
      <c r="F60" s="4">
        <v>8.73</v>
      </c>
      <c r="G60" s="9">
        <f>Table1[[#This Row],[Quantity]]*Table1[[#This Row],[Price]]</f>
        <v>61.11</v>
      </c>
    </row>
    <row r="61" spans="1:7" ht="21" customHeight="1" x14ac:dyDescent="0.3">
      <c r="A61" s="1" t="s">
        <v>33</v>
      </c>
      <c r="B61" s="1" t="str">
        <f>TEXT(Table1[[#This Row],[Date]], "YYYY-mm")</f>
        <v>2024-03</v>
      </c>
      <c r="C61" s="2" t="s">
        <v>44</v>
      </c>
      <c r="D61" s="2" t="s">
        <v>8</v>
      </c>
      <c r="E61" s="2">
        <v>11</v>
      </c>
      <c r="F61" s="2">
        <v>5.7</v>
      </c>
      <c r="G61" s="8">
        <f>Table1[[#This Row],[Quantity]]*Table1[[#This Row],[Price]]</f>
        <v>62.7</v>
      </c>
    </row>
    <row r="62" spans="1:7" ht="21" customHeight="1" x14ac:dyDescent="0.3">
      <c r="A62" s="3" t="s">
        <v>75</v>
      </c>
      <c r="B62" s="3" t="str">
        <f>TEXT(Table1[[#This Row],[Date]], "YYYY-mm")</f>
        <v>2024-07</v>
      </c>
      <c r="C62" s="4" t="s">
        <v>44</v>
      </c>
      <c r="D62" s="4" t="s">
        <v>8</v>
      </c>
      <c r="E62" s="4">
        <v>14</v>
      </c>
      <c r="F62" s="4">
        <v>12.13</v>
      </c>
      <c r="G62" s="9">
        <f>Table1[[#This Row],[Quantity]]*Table1[[#This Row],[Price]]</f>
        <v>169.82000000000002</v>
      </c>
    </row>
    <row r="63" spans="1:7" ht="21" customHeight="1" x14ac:dyDescent="0.3">
      <c r="A63" s="1" t="s">
        <v>76</v>
      </c>
      <c r="B63" s="1" t="str">
        <f>TEXT(Table1[[#This Row],[Date]], "YYYY-mm")</f>
        <v>2024-12</v>
      </c>
      <c r="C63" s="2" t="s">
        <v>7</v>
      </c>
      <c r="D63" s="2" t="s">
        <v>8</v>
      </c>
      <c r="E63" s="2">
        <v>3</v>
      </c>
      <c r="F63" s="2">
        <v>66.36</v>
      </c>
      <c r="G63" s="8">
        <f>Table1[[#This Row],[Quantity]]*Table1[[#This Row],[Price]]</f>
        <v>199.07999999999998</v>
      </c>
    </row>
    <row r="64" spans="1:7" ht="21" customHeight="1" x14ac:dyDescent="0.3">
      <c r="A64" s="3" t="s">
        <v>47</v>
      </c>
      <c r="B64" s="3" t="str">
        <f>TEXT(Table1[[#This Row],[Date]], "YYYY-mm")</f>
        <v>2024-09</v>
      </c>
      <c r="C64" s="4" t="s">
        <v>34</v>
      </c>
      <c r="D64" s="4" t="s">
        <v>19</v>
      </c>
      <c r="E64" s="4">
        <v>14</v>
      </c>
      <c r="F64" s="4">
        <v>1592.78</v>
      </c>
      <c r="G64" s="9">
        <f>Table1[[#This Row],[Quantity]]*Table1[[#This Row],[Price]]</f>
        <v>22298.92</v>
      </c>
    </row>
    <row r="65" spans="1:7" ht="21" customHeight="1" x14ac:dyDescent="0.3">
      <c r="A65" s="1" t="s">
        <v>40</v>
      </c>
      <c r="B65" s="1" t="str">
        <f>TEXT(Table1[[#This Row],[Date]], "YYYY-mm")</f>
        <v>2024-09</v>
      </c>
      <c r="C65" s="2" t="s">
        <v>34</v>
      </c>
      <c r="D65" s="2" t="s">
        <v>19</v>
      </c>
      <c r="E65" s="2">
        <v>7</v>
      </c>
      <c r="F65" s="2">
        <v>1500.25</v>
      </c>
      <c r="G65" s="8">
        <f>Table1[[#This Row],[Quantity]]*Table1[[#This Row],[Price]]</f>
        <v>10501.75</v>
      </c>
    </row>
    <row r="66" spans="1:7" ht="21" customHeight="1" x14ac:dyDescent="0.3">
      <c r="A66" s="3" t="s">
        <v>77</v>
      </c>
      <c r="B66" s="3" t="str">
        <f>TEXT(Table1[[#This Row],[Date]], "YYYY-mm")</f>
        <v>2024-09</v>
      </c>
      <c r="C66" s="4" t="s">
        <v>27</v>
      </c>
      <c r="D66" s="4" t="s">
        <v>8</v>
      </c>
      <c r="E66" s="4">
        <v>6</v>
      </c>
      <c r="F66" s="4">
        <v>136.16999999999999</v>
      </c>
      <c r="G66" s="9">
        <f>Table1[[#This Row],[Quantity]]*Table1[[#This Row],[Price]]</f>
        <v>817.02</v>
      </c>
    </row>
    <row r="67" spans="1:7" ht="21" customHeight="1" x14ac:dyDescent="0.3">
      <c r="A67" s="1" t="s">
        <v>78</v>
      </c>
      <c r="B67" s="1" t="str">
        <f>TEXT(Table1[[#This Row],[Date]], "YYYY-mm")</f>
        <v>2024-04</v>
      </c>
      <c r="C67" s="2" t="s">
        <v>18</v>
      </c>
      <c r="D67" s="2" t="s">
        <v>19</v>
      </c>
      <c r="E67" s="2">
        <v>5</v>
      </c>
      <c r="F67" s="2">
        <v>1291.01</v>
      </c>
      <c r="G67" s="8">
        <f>Table1[[#This Row],[Quantity]]*Table1[[#This Row],[Price]]</f>
        <v>6455.05</v>
      </c>
    </row>
    <row r="68" spans="1:7" ht="21" customHeight="1" x14ac:dyDescent="0.3">
      <c r="A68" s="3" t="s">
        <v>79</v>
      </c>
      <c r="B68" s="3" t="str">
        <f>TEXT(Table1[[#This Row],[Date]], "YYYY-mm")</f>
        <v>2024-06</v>
      </c>
      <c r="C68" s="4" t="s">
        <v>22</v>
      </c>
      <c r="D68" s="4" t="s">
        <v>13</v>
      </c>
      <c r="E68" s="4">
        <v>9</v>
      </c>
      <c r="F68" s="4">
        <v>502.11</v>
      </c>
      <c r="G68" s="9">
        <f>Table1[[#This Row],[Quantity]]*Table1[[#This Row],[Price]]</f>
        <v>4518.99</v>
      </c>
    </row>
    <row r="69" spans="1:7" ht="21" customHeight="1" x14ac:dyDescent="0.3">
      <c r="A69" s="1" t="s">
        <v>80</v>
      </c>
      <c r="B69" s="1" t="str">
        <f>TEXT(Table1[[#This Row],[Date]], "YYYY-mm")</f>
        <v>2024-01</v>
      </c>
      <c r="C69" s="2" t="s">
        <v>29</v>
      </c>
      <c r="D69" s="2" t="s">
        <v>19</v>
      </c>
      <c r="E69" s="2">
        <v>13</v>
      </c>
      <c r="F69" s="2">
        <v>1427.9</v>
      </c>
      <c r="G69" s="8">
        <f>Table1[[#This Row],[Quantity]]*Table1[[#This Row],[Price]]</f>
        <v>18562.7</v>
      </c>
    </row>
    <row r="70" spans="1:7" ht="21" customHeight="1" x14ac:dyDescent="0.3">
      <c r="A70" s="3" t="s">
        <v>81</v>
      </c>
      <c r="B70" s="3" t="str">
        <f>TEXT(Table1[[#This Row],[Date]], "YYYY-mm")</f>
        <v>2024-09</v>
      </c>
      <c r="C70" s="4" t="s">
        <v>29</v>
      </c>
      <c r="D70" s="4" t="s">
        <v>19</v>
      </c>
      <c r="E70" s="4">
        <v>9</v>
      </c>
      <c r="F70" s="4">
        <v>613.20000000000005</v>
      </c>
      <c r="G70" s="9">
        <f>Table1[[#This Row],[Quantity]]*Table1[[#This Row],[Price]]</f>
        <v>5518.8</v>
      </c>
    </row>
    <row r="71" spans="1:7" ht="21" customHeight="1" x14ac:dyDescent="0.3">
      <c r="A71" s="1" t="s">
        <v>9</v>
      </c>
      <c r="B71" s="1" t="str">
        <f>TEXT(Table1[[#This Row],[Date]], "YYYY-mm")</f>
        <v>2024-04</v>
      </c>
      <c r="C71" s="2" t="s">
        <v>22</v>
      </c>
      <c r="D71" s="2" t="s">
        <v>13</v>
      </c>
      <c r="E71" s="2">
        <v>2</v>
      </c>
      <c r="F71" s="2">
        <v>972.49</v>
      </c>
      <c r="G71" s="8">
        <f>Table1[[#This Row],[Quantity]]*Table1[[#This Row],[Price]]</f>
        <v>1944.98</v>
      </c>
    </row>
    <row r="72" spans="1:7" ht="21" customHeight="1" x14ac:dyDescent="0.3">
      <c r="A72" s="3" t="s">
        <v>82</v>
      </c>
      <c r="B72" s="3" t="str">
        <f>TEXT(Table1[[#This Row],[Date]], "YYYY-mm")</f>
        <v>2024-06</v>
      </c>
      <c r="C72" s="4" t="s">
        <v>22</v>
      </c>
      <c r="D72" s="4" t="s">
        <v>13</v>
      </c>
      <c r="E72" s="4">
        <v>3</v>
      </c>
      <c r="F72" s="4">
        <v>784.13</v>
      </c>
      <c r="G72" s="9">
        <f>Table1[[#This Row],[Quantity]]*Table1[[#This Row],[Price]]</f>
        <v>2352.39</v>
      </c>
    </row>
    <row r="73" spans="1:7" ht="21" customHeight="1" x14ac:dyDescent="0.3">
      <c r="A73" s="1" t="s">
        <v>54</v>
      </c>
      <c r="B73" s="1" t="str">
        <f>TEXT(Table1[[#This Row],[Date]], "YYYY-mm")</f>
        <v>2024-06</v>
      </c>
      <c r="C73" s="2" t="s">
        <v>15</v>
      </c>
      <c r="D73" s="2" t="s">
        <v>8</v>
      </c>
      <c r="E73" s="2">
        <v>11</v>
      </c>
      <c r="F73" s="2">
        <v>6.78</v>
      </c>
      <c r="G73" s="8">
        <f>Table1[[#This Row],[Quantity]]*Table1[[#This Row],[Price]]</f>
        <v>74.58</v>
      </c>
    </row>
    <row r="74" spans="1:7" ht="21" customHeight="1" x14ac:dyDescent="0.3">
      <c r="A74" s="3" t="s">
        <v>83</v>
      </c>
      <c r="B74" s="3" t="str">
        <f>TEXT(Table1[[#This Row],[Date]], "YYYY-mm")</f>
        <v>2024-07</v>
      </c>
      <c r="C74" s="4" t="s">
        <v>18</v>
      </c>
      <c r="D74" s="4" t="s">
        <v>19</v>
      </c>
      <c r="E74" s="4">
        <v>1</v>
      </c>
      <c r="F74" s="4">
        <v>491.45</v>
      </c>
      <c r="G74" s="9">
        <f>Table1[[#This Row],[Quantity]]*Table1[[#This Row],[Price]]</f>
        <v>491.45</v>
      </c>
    </row>
    <row r="75" spans="1:7" ht="21" customHeight="1" x14ac:dyDescent="0.3">
      <c r="A75" s="1" t="s">
        <v>84</v>
      </c>
      <c r="B75" s="1" t="str">
        <f>TEXT(Table1[[#This Row],[Date]], "YYYY-mm")</f>
        <v>2024-12</v>
      </c>
      <c r="C75" s="2" t="s">
        <v>10</v>
      </c>
      <c r="D75" s="2" t="s">
        <v>8</v>
      </c>
      <c r="E75" s="2">
        <v>14</v>
      </c>
      <c r="F75" s="2">
        <v>53.47</v>
      </c>
      <c r="G75" s="8">
        <f>Table1[[#This Row],[Quantity]]*Table1[[#This Row],[Price]]</f>
        <v>748.57999999999993</v>
      </c>
    </row>
    <row r="76" spans="1:7" ht="21" customHeight="1" x14ac:dyDescent="0.3">
      <c r="A76" s="3" t="s">
        <v>85</v>
      </c>
      <c r="B76" s="3" t="str">
        <f>TEXT(Table1[[#This Row],[Date]], "YYYY-mm")</f>
        <v>2024-02</v>
      </c>
      <c r="C76" s="4" t="s">
        <v>29</v>
      </c>
      <c r="D76" s="4" t="s">
        <v>19</v>
      </c>
      <c r="E76" s="4">
        <v>7</v>
      </c>
      <c r="F76" s="4">
        <v>2169.04</v>
      </c>
      <c r="G76" s="9">
        <f>Table1[[#This Row],[Quantity]]*Table1[[#This Row],[Price]]</f>
        <v>15183.279999999999</v>
      </c>
    </row>
    <row r="77" spans="1:7" ht="21" customHeight="1" x14ac:dyDescent="0.3">
      <c r="A77" s="1" t="s">
        <v>86</v>
      </c>
      <c r="B77" s="1" t="str">
        <f>TEXT(Table1[[#This Row],[Date]], "YYYY-mm")</f>
        <v>2024-12</v>
      </c>
      <c r="C77" s="2" t="s">
        <v>34</v>
      </c>
      <c r="D77" s="2" t="s">
        <v>19</v>
      </c>
      <c r="E77" s="2">
        <v>6</v>
      </c>
      <c r="F77" s="2">
        <v>681.9</v>
      </c>
      <c r="G77" s="8">
        <f>Table1[[#This Row],[Quantity]]*Table1[[#This Row],[Price]]</f>
        <v>4091.3999999999996</v>
      </c>
    </row>
    <row r="78" spans="1:7" ht="21" customHeight="1" x14ac:dyDescent="0.3">
      <c r="A78" s="3" t="s">
        <v>87</v>
      </c>
      <c r="B78" s="3" t="str">
        <f>TEXT(Table1[[#This Row],[Date]], "YYYY-mm")</f>
        <v>2024-02</v>
      </c>
      <c r="C78" s="4" t="s">
        <v>39</v>
      </c>
      <c r="D78" s="4" t="s">
        <v>8</v>
      </c>
      <c r="E78" s="4">
        <v>6</v>
      </c>
      <c r="F78" s="4">
        <v>4.1399999999999997</v>
      </c>
      <c r="G78" s="9">
        <f>Table1[[#This Row],[Quantity]]*Table1[[#This Row],[Price]]</f>
        <v>24.839999999999996</v>
      </c>
    </row>
    <row r="79" spans="1:7" ht="21" customHeight="1" x14ac:dyDescent="0.3">
      <c r="A79" s="1" t="s">
        <v>88</v>
      </c>
      <c r="B79" s="1" t="str">
        <f>TEXT(Table1[[#This Row],[Date]], "YYYY-mm")</f>
        <v>2024-11</v>
      </c>
      <c r="C79" s="2" t="s">
        <v>15</v>
      </c>
      <c r="D79" s="2" t="s">
        <v>8</v>
      </c>
      <c r="E79" s="2">
        <v>11</v>
      </c>
      <c r="F79" s="2">
        <v>5.0599999999999996</v>
      </c>
      <c r="G79" s="8">
        <f>Table1[[#This Row],[Quantity]]*Table1[[#This Row],[Price]]</f>
        <v>55.66</v>
      </c>
    </row>
    <row r="80" spans="1:7" ht="21" customHeight="1" x14ac:dyDescent="0.3">
      <c r="A80" s="3" t="s">
        <v>89</v>
      </c>
      <c r="B80" s="3" t="str">
        <f>TEXT(Table1[[#This Row],[Date]], "YYYY-mm")</f>
        <v>2024-10</v>
      </c>
      <c r="C80" s="4" t="s">
        <v>18</v>
      </c>
      <c r="D80" s="4" t="s">
        <v>19</v>
      </c>
      <c r="E80" s="4">
        <v>13</v>
      </c>
      <c r="F80" s="4">
        <v>1334.44</v>
      </c>
      <c r="G80" s="9">
        <f>Table1[[#This Row],[Quantity]]*Table1[[#This Row],[Price]]</f>
        <v>17347.72</v>
      </c>
    </row>
    <row r="81" spans="1:7" ht="21" customHeight="1" x14ac:dyDescent="0.3">
      <c r="A81" s="1" t="s">
        <v>90</v>
      </c>
      <c r="B81" s="1" t="str">
        <f>TEXT(Table1[[#This Row],[Date]], "YYYY-mm")</f>
        <v>2024-07</v>
      </c>
      <c r="C81" s="2" t="s">
        <v>29</v>
      </c>
      <c r="D81" s="2" t="s">
        <v>19</v>
      </c>
      <c r="E81" s="2">
        <v>11</v>
      </c>
      <c r="F81" s="2">
        <v>605.88</v>
      </c>
      <c r="G81" s="8">
        <f>Table1[[#This Row],[Quantity]]*Table1[[#This Row],[Price]]</f>
        <v>6664.68</v>
      </c>
    </row>
    <row r="82" spans="1:7" ht="21" customHeight="1" x14ac:dyDescent="0.3">
      <c r="A82" s="3" t="s">
        <v>91</v>
      </c>
      <c r="B82" s="3" t="str">
        <f>TEXT(Table1[[#This Row],[Date]], "YYYY-mm")</f>
        <v>2024-10</v>
      </c>
      <c r="C82" s="4" t="s">
        <v>15</v>
      </c>
      <c r="D82" s="4" t="s">
        <v>8</v>
      </c>
      <c r="E82" s="4">
        <v>2</v>
      </c>
      <c r="F82" s="4">
        <v>6.02</v>
      </c>
      <c r="G82" s="9">
        <f>Table1[[#This Row],[Quantity]]*Table1[[#This Row],[Price]]</f>
        <v>12.04</v>
      </c>
    </row>
    <row r="83" spans="1:7" ht="21" customHeight="1" x14ac:dyDescent="0.3">
      <c r="A83" s="1" t="s">
        <v>92</v>
      </c>
      <c r="B83" s="1" t="str">
        <f>TEXT(Table1[[#This Row],[Date]], "YYYY-mm")</f>
        <v>2024-12</v>
      </c>
      <c r="C83" s="2" t="s">
        <v>34</v>
      </c>
      <c r="D83" s="2" t="s">
        <v>19</v>
      </c>
      <c r="E83" s="2">
        <v>6</v>
      </c>
      <c r="F83" s="2">
        <v>768.39</v>
      </c>
      <c r="G83" s="8">
        <f>Table1[[#This Row],[Quantity]]*Table1[[#This Row],[Price]]</f>
        <v>4610.34</v>
      </c>
    </row>
    <row r="84" spans="1:7" ht="21" customHeight="1" x14ac:dyDescent="0.3">
      <c r="A84" s="3" t="s">
        <v>93</v>
      </c>
      <c r="B84" s="3" t="str">
        <f>TEXT(Table1[[#This Row],[Date]], "YYYY-mm")</f>
        <v>2024-08</v>
      </c>
      <c r="C84" s="4" t="s">
        <v>15</v>
      </c>
      <c r="D84" s="4" t="s">
        <v>8</v>
      </c>
      <c r="E84" s="4">
        <v>1</v>
      </c>
      <c r="F84" s="4">
        <v>9.61</v>
      </c>
      <c r="G84" s="9">
        <f>Table1[[#This Row],[Quantity]]*Table1[[#This Row],[Price]]</f>
        <v>9.61</v>
      </c>
    </row>
    <row r="85" spans="1:7" ht="21" customHeight="1" x14ac:dyDescent="0.3">
      <c r="A85" s="1" t="s">
        <v>65</v>
      </c>
      <c r="B85" s="1" t="str">
        <f>TEXT(Table1[[#This Row],[Date]], "YYYY-mm")</f>
        <v>2024-04</v>
      </c>
      <c r="C85" s="2" t="s">
        <v>39</v>
      </c>
      <c r="D85" s="2" t="s">
        <v>8</v>
      </c>
      <c r="E85" s="2">
        <v>8</v>
      </c>
      <c r="F85" s="2">
        <v>7.44</v>
      </c>
      <c r="G85" s="8">
        <f>Table1[[#This Row],[Quantity]]*Table1[[#This Row],[Price]]</f>
        <v>59.52</v>
      </c>
    </row>
    <row r="86" spans="1:7" ht="21" customHeight="1" x14ac:dyDescent="0.3">
      <c r="A86" s="3" t="s">
        <v>94</v>
      </c>
      <c r="B86" s="3" t="str">
        <f>TEXT(Table1[[#This Row],[Date]], "YYYY-mm")</f>
        <v>2024-11</v>
      </c>
      <c r="C86" s="4" t="s">
        <v>25</v>
      </c>
      <c r="D86" s="4" t="s">
        <v>19</v>
      </c>
      <c r="E86" s="4">
        <v>11</v>
      </c>
      <c r="F86" s="4">
        <v>811.35</v>
      </c>
      <c r="G86" s="9">
        <f>Table1[[#This Row],[Quantity]]*Table1[[#This Row],[Price]]</f>
        <v>8924.85</v>
      </c>
    </row>
    <row r="87" spans="1:7" ht="21" customHeight="1" x14ac:dyDescent="0.3">
      <c r="A87" s="1" t="s">
        <v>95</v>
      </c>
      <c r="B87" s="1" t="str">
        <f>TEXT(Table1[[#This Row],[Date]], "YYYY-mm")</f>
        <v>2024-03</v>
      </c>
      <c r="C87" s="2" t="s">
        <v>27</v>
      </c>
      <c r="D87" s="2" t="s">
        <v>8</v>
      </c>
      <c r="E87" s="2">
        <v>4</v>
      </c>
      <c r="F87" s="2">
        <v>212.31</v>
      </c>
      <c r="G87" s="8">
        <f>Table1[[#This Row],[Quantity]]*Table1[[#This Row],[Price]]</f>
        <v>849.24</v>
      </c>
    </row>
    <row r="88" spans="1:7" ht="21" customHeight="1" x14ac:dyDescent="0.3">
      <c r="A88" s="3" t="s">
        <v>56</v>
      </c>
      <c r="B88" s="3" t="str">
        <f>TEXT(Table1[[#This Row],[Date]], "YYYY-mm")</f>
        <v>2024-06</v>
      </c>
      <c r="C88" s="4" t="s">
        <v>29</v>
      </c>
      <c r="D88" s="4" t="s">
        <v>19</v>
      </c>
      <c r="E88" s="4">
        <v>3</v>
      </c>
      <c r="F88" s="4">
        <v>1345.42</v>
      </c>
      <c r="G88" s="9">
        <f>Table1[[#This Row],[Quantity]]*Table1[[#This Row],[Price]]</f>
        <v>4036.26</v>
      </c>
    </row>
    <row r="89" spans="1:7" ht="21" customHeight="1" x14ac:dyDescent="0.3">
      <c r="A89" s="1" t="s">
        <v>96</v>
      </c>
      <c r="B89" s="1" t="str">
        <f>TEXT(Table1[[#This Row],[Date]], "YYYY-mm")</f>
        <v>2024-07</v>
      </c>
      <c r="C89" s="2" t="s">
        <v>29</v>
      </c>
      <c r="D89" s="2" t="s">
        <v>19</v>
      </c>
      <c r="E89" s="2">
        <v>14</v>
      </c>
      <c r="F89" s="2">
        <v>765.29</v>
      </c>
      <c r="G89" s="8">
        <f>Table1[[#This Row],[Quantity]]*Table1[[#This Row],[Price]]</f>
        <v>10714.06</v>
      </c>
    </row>
    <row r="90" spans="1:7" ht="21" customHeight="1" x14ac:dyDescent="0.3">
      <c r="A90" s="3" t="s">
        <v>93</v>
      </c>
      <c r="B90" s="3" t="str">
        <f>TEXT(Table1[[#This Row],[Date]], "YYYY-mm")</f>
        <v>2024-08</v>
      </c>
      <c r="C90" s="4" t="s">
        <v>29</v>
      </c>
      <c r="D90" s="4" t="s">
        <v>19</v>
      </c>
      <c r="E90" s="4">
        <v>8</v>
      </c>
      <c r="F90" s="4">
        <v>690.69</v>
      </c>
      <c r="G90" s="9">
        <f>Table1[[#This Row],[Quantity]]*Table1[[#This Row],[Price]]</f>
        <v>5525.52</v>
      </c>
    </row>
    <row r="91" spans="1:7" ht="21" customHeight="1" x14ac:dyDescent="0.3">
      <c r="A91" s="1" t="s">
        <v>97</v>
      </c>
      <c r="B91" s="1" t="str">
        <f>TEXT(Table1[[#This Row],[Date]], "YYYY-mm")</f>
        <v>2024-05</v>
      </c>
      <c r="C91" s="2" t="s">
        <v>22</v>
      </c>
      <c r="D91" s="2" t="s">
        <v>13</v>
      </c>
      <c r="E91" s="2">
        <v>8</v>
      </c>
      <c r="F91" s="2">
        <v>782.02</v>
      </c>
      <c r="G91" s="8">
        <f>Table1[[#This Row],[Quantity]]*Table1[[#This Row],[Price]]</f>
        <v>6256.16</v>
      </c>
    </row>
    <row r="92" spans="1:7" ht="21" customHeight="1" x14ac:dyDescent="0.3">
      <c r="A92" s="3" t="s">
        <v>69</v>
      </c>
      <c r="B92" s="3" t="str">
        <f>TEXT(Table1[[#This Row],[Date]], "YYYY-mm")</f>
        <v>2024-03</v>
      </c>
      <c r="C92" s="4" t="s">
        <v>10</v>
      </c>
      <c r="D92" s="4" t="s">
        <v>8</v>
      </c>
      <c r="E92" s="4">
        <v>11</v>
      </c>
      <c r="F92" s="4">
        <v>90.95</v>
      </c>
      <c r="G92" s="9">
        <f>Table1[[#This Row],[Quantity]]*Table1[[#This Row],[Price]]</f>
        <v>1000.45</v>
      </c>
    </row>
    <row r="93" spans="1:7" ht="21" customHeight="1" x14ac:dyDescent="0.3">
      <c r="A93" s="1" t="s">
        <v>98</v>
      </c>
      <c r="B93" s="1" t="str">
        <f>TEXT(Table1[[#This Row],[Date]], "YYYY-mm")</f>
        <v>2024-03</v>
      </c>
      <c r="C93" s="2" t="s">
        <v>29</v>
      </c>
      <c r="D93" s="2" t="s">
        <v>19</v>
      </c>
      <c r="E93" s="2">
        <v>15</v>
      </c>
      <c r="F93" s="2">
        <v>2007.67</v>
      </c>
      <c r="G93" s="8">
        <f>Table1[[#This Row],[Quantity]]*Table1[[#This Row],[Price]]</f>
        <v>30115.050000000003</v>
      </c>
    </row>
    <row r="94" spans="1:7" ht="21" customHeight="1" x14ac:dyDescent="0.3">
      <c r="A94" s="3" t="s">
        <v>99</v>
      </c>
      <c r="B94" s="3" t="str">
        <f>TEXT(Table1[[#This Row],[Date]], "YYYY-mm")</f>
        <v>2024-08</v>
      </c>
      <c r="C94" s="4" t="s">
        <v>34</v>
      </c>
      <c r="D94" s="4" t="s">
        <v>19</v>
      </c>
      <c r="E94" s="4">
        <v>10</v>
      </c>
      <c r="F94" s="4">
        <v>1141.19</v>
      </c>
      <c r="G94" s="9">
        <f>Table1[[#This Row],[Quantity]]*Table1[[#This Row],[Price]]</f>
        <v>11411.900000000001</v>
      </c>
    </row>
    <row r="95" spans="1:7" ht="21" customHeight="1" x14ac:dyDescent="0.3">
      <c r="A95" s="1" t="s">
        <v>100</v>
      </c>
      <c r="B95" s="1" t="str">
        <f>TEXT(Table1[[#This Row],[Date]], "YYYY-mm")</f>
        <v>2024-05</v>
      </c>
      <c r="C95" s="2" t="s">
        <v>44</v>
      </c>
      <c r="D95" s="2" t="s">
        <v>8</v>
      </c>
      <c r="E95" s="2">
        <v>2</v>
      </c>
      <c r="F95" s="2">
        <v>7.43</v>
      </c>
      <c r="G95" s="8">
        <f>Table1[[#This Row],[Quantity]]*Table1[[#This Row],[Price]]</f>
        <v>14.86</v>
      </c>
    </row>
    <row r="96" spans="1:7" ht="21" customHeight="1" x14ac:dyDescent="0.3">
      <c r="A96" s="3" t="s">
        <v>101</v>
      </c>
      <c r="B96" s="3" t="str">
        <f>TEXT(Table1[[#This Row],[Date]], "YYYY-mm")</f>
        <v>2024-06</v>
      </c>
      <c r="C96" s="4" t="s">
        <v>39</v>
      </c>
      <c r="D96" s="4" t="s">
        <v>8</v>
      </c>
      <c r="E96" s="4">
        <v>6</v>
      </c>
      <c r="F96" s="4">
        <v>4.49</v>
      </c>
      <c r="G96" s="9">
        <f>Table1[[#This Row],[Quantity]]*Table1[[#This Row],[Price]]</f>
        <v>26.94</v>
      </c>
    </row>
    <row r="97" spans="1:7" ht="21" customHeight="1" x14ac:dyDescent="0.3">
      <c r="A97" s="1" t="s">
        <v>63</v>
      </c>
      <c r="B97" s="1" t="str">
        <f>TEXT(Table1[[#This Row],[Date]], "YYYY-mm")</f>
        <v>2024-07</v>
      </c>
      <c r="C97" s="2" t="s">
        <v>7</v>
      </c>
      <c r="D97" s="2" t="s">
        <v>8</v>
      </c>
      <c r="E97" s="2">
        <v>14</v>
      </c>
      <c r="F97" s="2">
        <v>64.75</v>
      </c>
      <c r="G97" s="8">
        <f>Table1[[#This Row],[Quantity]]*Table1[[#This Row],[Price]]</f>
        <v>906.5</v>
      </c>
    </row>
    <row r="98" spans="1:7" ht="21" customHeight="1" x14ac:dyDescent="0.3">
      <c r="A98" s="3" t="s">
        <v>56</v>
      </c>
      <c r="B98" s="3" t="str">
        <f>TEXT(Table1[[#This Row],[Date]], "YYYY-mm")</f>
        <v>2024-06</v>
      </c>
      <c r="C98" s="4" t="s">
        <v>29</v>
      </c>
      <c r="D98" s="4" t="s">
        <v>19</v>
      </c>
      <c r="E98" s="4">
        <v>10</v>
      </c>
      <c r="F98" s="4">
        <v>2276.64</v>
      </c>
      <c r="G98" s="9">
        <f>Table1[[#This Row],[Quantity]]*Table1[[#This Row],[Price]]</f>
        <v>22766.399999999998</v>
      </c>
    </row>
    <row r="99" spans="1:7" ht="21" customHeight="1" x14ac:dyDescent="0.3">
      <c r="A99" s="1" t="s">
        <v>102</v>
      </c>
      <c r="B99" s="1" t="str">
        <f>TEXT(Table1[[#This Row],[Date]], "YYYY-mm")</f>
        <v>2024-04</v>
      </c>
      <c r="C99" s="2" t="s">
        <v>27</v>
      </c>
      <c r="D99" s="2" t="s">
        <v>8</v>
      </c>
      <c r="E99" s="2">
        <v>8</v>
      </c>
      <c r="F99" s="2">
        <v>230.4</v>
      </c>
      <c r="G99" s="8">
        <f>Table1[[#This Row],[Quantity]]*Table1[[#This Row],[Price]]</f>
        <v>1843.2</v>
      </c>
    </row>
    <row r="100" spans="1:7" ht="21" customHeight="1" x14ac:dyDescent="0.3">
      <c r="A100" s="3" t="s">
        <v>103</v>
      </c>
      <c r="B100" s="3" t="str">
        <f>TEXT(Table1[[#This Row],[Date]], "YYYY-mm")</f>
        <v>2024-07</v>
      </c>
      <c r="C100" s="4" t="s">
        <v>15</v>
      </c>
      <c r="D100" s="4" t="s">
        <v>8</v>
      </c>
      <c r="E100" s="4">
        <v>13</v>
      </c>
      <c r="F100" s="4">
        <v>4</v>
      </c>
      <c r="G100" s="9">
        <f>Table1[[#This Row],[Quantity]]*Table1[[#This Row],[Price]]</f>
        <v>52</v>
      </c>
    </row>
    <row r="101" spans="1:7" ht="21" customHeight="1" x14ac:dyDescent="0.3">
      <c r="A101" s="1" t="s">
        <v>104</v>
      </c>
      <c r="B101" s="1" t="str">
        <f>TEXT(Table1[[#This Row],[Date]], "YYYY-mm")</f>
        <v>2024-06</v>
      </c>
      <c r="C101" s="2" t="s">
        <v>25</v>
      </c>
      <c r="D101" s="2" t="s">
        <v>19</v>
      </c>
      <c r="E101" s="2">
        <v>5</v>
      </c>
      <c r="F101" s="2">
        <v>833.77</v>
      </c>
      <c r="G101" s="8">
        <f>Table1[[#This Row],[Quantity]]*Table1[[#This Row],[Price]]</f>
        <v>4168.8500000000004</v>
      </c>
    </row>
    <row r="102" spans="1:7" ht="21" customHeight="1" x14ac:dyDescent="0.3">
      <c r="A102" s="3" t="s">
        <v>105</v>
      </c>
      <c r="B102" s="3" t="str">
        <f>TEXT(Table1[[#This Row],[Date]], "YYYY-mm")</f>
        <v>2024-12</v>
      </c>
      <c r="C102" s="4" t="s">
        <v>39</v>
      </c>
      <c r="D102" s="4" t="s">
        <v>8</v>
      </c>
      <c r="E102" s="4">
        <v>14</v>
      </c>
      <c r="F102" s="4">
        <v>6.11</v>
      </c>
      <c r="G102" s="9">
        <f>Table1[[#This Row],[Quantity]]*Table1[[#This Row],[Price]]</f>
        <v>85.54</v>
      </c>
    </row>
    <row r="103" spans="1:7" ht="21" customHeight="1" x14ac:dyDescent="0.3">
      <c r="A103" s="1" t="s">
        <v>106</v>
      </c>
      <c r="B103" s="1" t="str">
        <f>TEXT(Table1[[#This Row],[Date]], "YYYY-mm")</f>
        <v>2024-06</v>
      </c>
      <c r="C103" s="2" t="s">
        <v>25</v>
      </c>
      <c r="D103" s="2" t="s">
        <v>19</v>
      </c>
      <c r="E103" s="2">
        <v>1</v>
      </c>
      <c r="F103" s="2">
        <v>354.15</v>
      </c>
      <c r="G103" s="8">
        <f>Table1[[#This Row],[Quantity]]*Table1[[#This Row],[Price]]</f>
        <v>354.15</v>
      </c>
    </row>
    <row r="104" spans="1:7" ht="21" customHeight="1" x14ac:dyDescent="0.3">
      <c r="A104" s="3" t="s">
        <v>107</v>
      </c>
      <c r="B104" s="3" t="str">
        <f>TEXT(Table1[[#This Row],[Date]], "YYYY-mm")</f>
        <v>2024-08</v>
      </c>
      <c r="C104" s="4" t="s">
        <v>22</v>
      </c>
      <c r="D104" s="4" t="s">
        <v>13</v>
      </c>
      <c r="E104" s="4">
        <v>14</v>
      </c>
      <c r="F104" s="4">
        <v>1058.23</v>
      </c>
      <c r="G104" s="9">
        <f>Table1[[#This Row],[Quantity]]*Table1[[#This Row],[Price]]</f>
        <v>14815.220000000001</v>
      </c>
    </row>
    <row r="105" spans="1:7" ht="21" customHeight="1" x14ac:dyDescent="0.3">
      <c r="A105" s="1" t="s">
        <v>108</v>
      </c>
      <c r="B105" s="1" t="str">
        <f>TEXT(Table1[[#This Row],[Date]], "YYYY-mm")</f>
        <v>2024-05</v>
      </c>
      <c r="C105" s="2" t="s">
        <v>15</v>
      </c>
      <c r="D105" s="2" t="s">
        <v>8</v>
      </c>
      <c r="E105" s="2">
        <v>15</v>
      </c>
      <c r="F105" s="2">
        <v>7.49</v>
      </c>
      <c r="G105" s="8">
        <f>Table1[[#This Row],[Quantity]]*Table1[[#This Row],[Price]]</f>
        <v>112.35000000000001</v>
      </c>
    </row>
    <row r="106" spans="1:7" ht="21" customHeight="1" x14ac:dyDescent="0.3">
      <c r="A106" s="3" t="s">
        <v>109</v>
      </c>
      <c r="B106" s="3" t="str">
        <f>TEXT(Table1[[#This Row],[Date]], "YYYY-mm")</f>
        <v>2024-04</v>
      </c>
      <c r="C106" s="4" t="s">
        <v>22</v>
      </c>
      <c r="D106" s="4" t="s">
        <v>13</v>
      </c>
      <c r="E106" s="4">
        <v>10</v>
      </c>
      <c r="F106" s="4">
        <v>1732.77</v>
      </c>
      <c r="G106" s="9">
        <f>Table1[[#This Row],[Quantity]]*Table1[[#This Row],[Price]]</f>
        <v>17327.7</v>
      </c>
    </row>
    <row r="107" spans="1:7" ht="21" customHeight="1" x14ac:dyDescent="0.3">
      <c r="A107" s="1" t="s">
        <v>110</v>
      </c>
      <c r="B107" s="1" t="str">
        <f>TEXT(Table1[[#This Row],[Date]], "YYYY-mm")</f>
        <v>2024-08</v>
      </c>
      <c r="C107" s="2" t="s">
        <v>15</v>
      </c>
      <c r="D107" s="2" t="s">
        <v>8</v>
      </c>
      <c r="E107" s="2">
        <v>13</v>
      </c>
      <c r="F107" s="2">
        <v>6.83</v>
      </c>
      <c r="G107" s="8">
        <f>Table1[[#This Row],[Quantity]]*Table1[[#This Row],[Price]]</f>
        <v>88.79</v>
      </c>
    </row>
    <row r="108" spans="1:7" ht="21" customHeight="1" x14ac:dyDescent="0.3">
      <c r="A108" s="3" t="s">
        <v>111</v>
      </c>
      <c r="B108" s="3" t="str">
        <f>TEXT(Table1[[#This Row],[Date]], "YYYY-mm")</f>
        <v>2024-11</v>
      </c>
      <c r="C108" s="4" t="s">
        <v>27</v>
      </c>
      <c r="D108" s="4" t="s">
        <v>8</v>
      </c>
      <c r="E108" s="4">
        <v>3</v>
      </c>
      <c r="F108" s="4">
        <v>127.46</v>
      </c>
      <c r="G108" s="9">
        <f>Table1[[#This Row],[Quantity]]*Table1[[#This Row],[Price]]</f>
        <v>382.38</v>
      </c>
    </row>
    <row r="109" spans="1:7" ht="21" customHeight="1" x14ac:dyDescent="0.3">
      <c r="A109" s="1" t="s">
        <v>112</v>
      </c>
      <c r="B109" s="1" t="str">
        <f>TEXT(Table1[[#This Row],[Date]], "YYYY-mm")</f>
        <v>2024-02</v>
      </c>
      <c r="C109" s="2" t="s">
        <v>7</v>
      </c>
      <c r="D109" s="2" t="s">
        <v>8</v>
      </c>
      <c r="E109" s="2">
        <v>5</v>
      </c>
      <c r="F109" s="2">
        <v>44.01</v>
      </c>
      <c r="G109" s="8">
        <f>Table1[[#This Row],[Quantity]]*Table1[[#This Row],[Price]]</f>
        <v>220.04999999999998</v>
      </c>
    </row>
    <row r="110" spans="1:7" ht="21" customHeight="1" x14ac:dyDescent="0.3">
      <c r="A110" s="3" t="s">
        <v>113</v>
      </c>
      <c r="B110" s="3" t="str">
        <f>TEXT(Table1[[#This Row],[Date]], "YYYY-mm")</f>
        <v>2024-05</v>
      </c>
      <c r="C110" s="4" t="s">
        <v>29</v>
      </c>
      <c r="D110" s="4" t="s">
        <v>19</v>
      </c>
      <c r="E110" s="4">
        <v>4</v>
      </c>
      <c r="F110" s="4">
        <v>1665.22</v>
      </c>
      <c r="G110" s="9">
        <f>Table1[[#This Row],[Quantity]]*Table1[[#This Row],[Price]]</f>
        <v>6660.88</v>
      </c>
    </row>
    <row r="111" spans="1:7" ht="21" customHeight="1" x14ac:dyDescent="0.3">
      <c r="A111" s="1" t="s">
        <v>111</v>
      </c>
      <c r="B111" s="1" t="str">
        <f>TEXT(Table1[[#This Row],[Date]], "YYYY-mm")</f>
        <v>2024-11</v>
      </c>
      <c r="C111" s="2" t="s">
        <v>27</v>
      </c>
      <c r="D111" s="2" t="s">
        <v>8</v>
      </c>
      <c r="E111" s="2">
        <v>7</v>
      </c>
      <c r="F111" s="2">
        <v>111.06</v>
      </c>
      <c r="G111" s="8">
        <f>Table1[[#This Row],[Quantity]]*Table1[[#This Row],[Price]]</f>
        <v>777.42000000000007</v>
      </c>
    </row>
    <row r="112" spans="1:7" ht="21" customHeight="1" x14ac:dyDescent="0.3">
      <c r="A112" s="3" t="s">
        <v>114</v>
      </c>
      <c r="B112" s="3" t="str">
        <f>TEXT(Table1[[#This Row],[Date]], "YYYY-mm")</f>
        <v>2024-07</v>
      </c>
      <c r="C112" s="4" t="s">
        <v>29</v>
      </c>
      <c r="D112" s="4" t="s">
        <v>19</v>
      </c>
      <c r="E112" s="4">
        <v>8</v>
      </c>
      <c r="F112" s="4">
        <v>1761.98</v>
      </c>
      <c r="G112" s="9">
        <f>Table1[[#This Row],[Quantity]]*Table1[[#This Row],[Price]]</f>
        <v>14095.84</v>
      </c>
    </row>
    <row r="113" spans="1:7" ht="21" customHeight="1" x14ac:dyDescent="0.3">
      <c r="A113" s="1" t="s">
        <v>115</v>
      </c>
      <c r="B113" s="1" t="str">
        <f>TEXT(Table1[[#This Row],[Date]], "YYYY-mm")</f>
        <v>2024-10</v>
      </c>
      <c r="C113" s="2" t="s">
        <v>15</v>
      </c>
      <c r="D113" s="2" t="s">
        <v>8</v>
      </c>
      <c r="E113" s="2">
        <v>9</v>
      </c>
      <c r="F113" s="2">
        <v>7.46</v>
      </c>
      <c r="G113" s="8">
        <f>Table1[[#This Row],[Quantity]]*Table1[[#This Row],[Price]]</f>
        <v>67.14</v>
      </c>
    </row>
    <row r="114" spans="1:7" ht="21" customHeight="1" x14ac:dyDescent="0.3">
      <c r="A114" s="3" t="s">
        <v>116</v>
      </c>
      <c r="B114" s="3" t="str">
        <f>TEXT(Table1[[#This Row],[Date]], "YYYY-mm")</f>
        <v>2024-10</v>
      </c>
      <c r="C114" s="4" t="s">
        <v>39</v>
      </c>
      <c r="D114" s="4" t="s">
        <v>8</v>
      </c>
      <c r="E114" s="4">
        <v>13</v>
      </c>
      <c r="F114" s="4">
        <v>2.0299999999999998</v>
      </c>
      <c r="G114" s="9">
        <f>Table1[[#This Row],[Quantity]]*Table1[[#This Row],[Price]]</f>
        <v>26.389999999999997</v>
      </c>
    </row>
    <row r="115" spans="1:7" ht="21" customHeight="1" x14ac:dyDescent="0.3">
      <c r="A115" s="1" t="s">
        <v>89</v>
      </c>
      <c r="B115" s="1" t="str">
        <f>TEXT(Table1[[#This Row],[Date]], "YYYY-mm")</f>
        <v>2024-10</v>
      </c>
      <c r="C115" s="2" t="s">
        <v>27</v>
      </c>
      <c r="D115" s="2" t="s">
        <v>8</v>
      </c>
      <c r="E115" s="2">
        <v>12</v>
      </c>
      <c r="F115" s="2">
        <v>239.98</v>
      </c>
      <c r="G115" s="8">
        <f>Table1[[#This Row],[Quantity]]*Table1[[#This Row],[Price]]</f>
        <v>2879.7599999999998</v>
      </c>
    </row>
    <row r="116" spans="1:7" ht="21" customHeight="1" x14ac:dyDescent="0.3">
      <c r="A116" s="3" t="s">
        <v>26</v>
      </c>
      <c r="B116" s="3" t="str">
        <f>TEXT(Table1[[#This Row],[Date]], "YYYY-mm")</f>
        <v>2024-01</v>
      </c>
      <c r="C116" s="4" t="s">
        <v>27</v>
      </c>
      <c r="D116" s="4" t="s">
        <v>8</v>
      </c>
      <c r="E116" s="4">
        <v>14</v>
      </c>
      <c r="F116" s="4">
        <v>182.33</v>
      </c>
      <c r="G116" s="9">
        <f>Table1[[#This Row],[Quantity]]*Table1[[#This Row],[Price]]</f>
        <v>2552.6200000000003</v>
      </c>
    </row>
    <row r="117" spans="1:7" ht="21" customHeight="1" x14ac:dyDescent="0.3">
      <c r="A117" s="1" t="s">
        <v>104</v>
      </c>
      <c r="B117" s="1" t="str">
        <f>TEXT(Table1[[#This Row],[Date]], "YYYY-mm")</f>
        <v>2024-06</v>
      </c>
      <c r="C117" s="2" t="s">
        <v>7</v>
      </c>
      <c r="D117" s="2" t="s">
        <v>8</v>
      </c>
      <c r="E117" s="2">
        <v>11</v>
      </c>
      <c r="F117" s="2">
        <v>21.21</v>
      </c>
      <c r="G117" s="8">
        <f>Table1[[#This Row],[Quantity]]*Table1[[#This Row],[Price]]</f>
        <v>233.31</v>
      </c>
    </row>
    <row r="118" spans="1:7" ht="21" customHeight="1" x14ac:dyDescent="0.3">
      <c r="A118" s="3" t="s">
        <v>117</v>
      </c>
      <c r="B118" s="3" t="str">
        <f>TEXT(Table1[[#This Row],[Date]], "YYYY-mm")</f>
        <v>2024-11</v>
      </c>
      <c r="C118" s="4" t="s">
        <v>7</v>
      </c>
      <c r="D118" s="4" t="s">
        <v>8</v>
      </c>
      <c r="E118" s="4">
        <v>9</v>
      </c>
      <c r="F118" s="4">
        <v>34.369999999999997</v>
      </c>
      <c r="G118" s="9">
        <f>Table1[[#This Row],[Quantity]]*Table1[[#This Row],[Price]]</f>
        <v>309.33</v>
      </c>
    </row>
    <row r="119" spans="1:7" ht="21" customHeight="1" x14ac:dyDescent="0.3">
      <c r="A119" s="1" t="s">
        <v>118</v>
      </c>
      <c r="B119" s="1" t="str">
        <f>TEXT(Table1[[#This Row],[Date]], "YYYY-mm")</f>
        <v>2024-06</v>
      </c>
      <c r="C119" s="2" t="s">
        <v>29</v>
      </c>
      <c r="D119" s="2" t="s">
        <v>19</v>
      </c>
      <c r="E119" s="2">
        <v>14</v>
      </c>
      <c r="F119" s="2">
        <v>1643.3</v>
      </c>
      <c r="G119" s="8">
        <f>Table1[[#This Row],[Quantity]]*Table1[[#This Row],[Price]]</f>
        <v>23006.2</v>
      </c>
    </row>
    <row r="120" spans="1:7" ht="21" customHeight="1" x14ac:dyDescent="0.3">
      <c r="A120" s="3" t="s">
        <v>59</v>
      </c>
      <c r="B120" s="3" t="str">
        <f>TEXT(Table1[[#This Row],[Date]], "YYYY-mm")</f>
        <v>2024-10</v>
      </c>
      <c r="C120" s="4" t="s">
        <v>27</v>
      </c>
      <c r="D120" s="4" t="s">
        <v>8</v>
      </c>
      <c r="E120" s="4">
        <v>2</v>
      </c>
      <c r="F120" s="4">
        <v>182</v>
      </c>
      <c r="G120" s="9">
        <f>Table1[[#This Row],[Quantity]]*Table1[[#This Row],[Price]]</f>
        <v>364</v>
      </c>
    </row>
    <row r="121" spans="1:7" ht="21" customHeight="1" x14ac:dyDescent="0.3">
      <c r="A121" s="1" t="s">
        <v>119</v>
      </c>
      <c r="B121" s="1" t="str">
        <f>TEXT(Table1[[#This Row],[Date]], "YYYY-mm")</f>
        <v>2024-08</v>
      </c>
      <c r="C121" s="2" t="s">
        <v>7</v>
      </c>
      <c r="D121" s="2" t="s">
        <v>8</v>
      </c>
      <c r="E121" s="2">
        <v>1</v>
      </c>
      <c r="F121" s="2">
        <v>79.31</v>
      </c>
      <c r="G121" s="8">
        <f>Table1[[#This Row],[Quantity]]*Table1[[#This Row],[Price]]</f>
        <v>79.31</v>
      </c>
    </row>
    <row r="122" spans="1:7" ht="21" customHeight="1" x14ac:dyDescent="0.3">
      <c r="A122" s="3" t="s">
        <v>120</v>
      </c>
      <c r="B122" s="3" t="str">
        <f>TEXT(Table1[[#This Row],[Date]], "YYYY-mm")</f>
        <v>2024-10</v>
      </c>
      <c r="C122" s="4" t="s">
        <v>7</v>
      </c>
      <c r="D122" s="4" t="s">
        <v>8</v>
      </c>
      <c r="E122" s="4">
        <v>4</v>
      </c>
      <c r="F122" s="4">
        <v>59.57</v>
      </c>
      <c r="G122" s="9">
        <f>Table1[[#This Row],[Quantity]]*Table1[[#This Row],[Price]]</f>
        <v>238.28</v>
      </c>
    </row>
    <row r="123" spans="1:7" ht="21" customHeight="1" x14ac:dyDescent="0.3">
      <c r="A123" s="1" t="s">
        <v>121</v>
      </c>
      <c r="B123" s="1" t="str">
        <f>TEXT(Table1[[#This Row],[Date]], "YYYY-mm")</f>
        <v>2024-11</v>
      </c>
      <c r="C123" s="2" t="s">
        <v>18</v>
      </c>
      <c r="D123" s="2" t="s">
        <v>19</v>
      </c>
      <c r="E123" s="2">
        <v>4</v>
      </c>
      <c r="F123" s="2">
        <v>1007.26</v>
      </c>
      <c r="G123" s="8">
        <f>Table1[[#This Row],[Quantity]]*Table1[[#This Row],[Price]]</f>
        <v>4029.04</v>
      </c>
    </row>
    <row r="124" spans="1:7" ht="21" customHeight="1" x14ac:dyDescent="0.3">
      <c r="A124" s="3" t="s">
        <v>122</v>
      </c>
      <c r="B124" s="3" t="str">
        <f>TEXT(Table1[[#This Row],[Date]], "YYYY-mm")</f>
        <v>2024-08</v>
      </c>
      <c r="C124" s="4" t="s">
        <v>18</v>
      </c>
      <c r="D124" s="4" t="s">
        <v>19</v>
      </c>
      <c r="E124" s="4">
        <v>2</v>
      </c>
      <c r="F124" s="4">
        <v>658.38</v>
      </c>
      <c r="G124" s="9">
        <f>Table1[[#This Row],[Quantity]]*Table1[[#This Row],[Price]]</f>
        <v>1316.76</v>
      </c>
    </row>
    <row r="125" spans="1:7" ht="21" customHeight="1" x14ac:dyDescent="0.3">
      <c r="A125" s="1" t="s">
        <v>123</v>
      </c>
      <c r="B125" s="1" t="str">
        <f>TEXT(Table1[[#This Row],[Date]], "YYYY-mm")</f>
        <v>2024-03</v>
      </c>
      <c r="C125" s="2" t="s">
        <v>18</v>
      </c>
      <c r="D125" s="2" t="s">
        <v>19</v>
      </c>
      <c r="E125" s="2">
        <v>12</v>
      </c>
      <c r="F125" s="2">
        <v>1197.53</v>
      </c>
      <c r="G125" s="8">
        <f>Table1[[#This Row],[Quantity]]*Table1[[#This Row],[Price]]</f>
        <v>14370.36</v>
      </c>
    </row>
    <row r="126" spans="1:7" ht="21" customHeight="1" x14ac:dyDescent="0.3">
      <c r="A126" s="3" t="s">
        <v>124</v>
      </c>
      <c r="B126" s="3" t="str">
        <f>TEXT(Table1[[#This Row],[Date]], "YYYY-mm")</f>
        <v>2024-08</v>
      </c>
      <c r="C126" s="4" t="s">
        <v>22</v>
      </c>
      <c r="D126" s="4" t="s">
        <v>13</v>
      </c>
      <c r="E126" s="4">
        <v>11</v>
      </c>
      <c r="F126" s="4">
        <v>1406.64</v>
      </c>
      <c r="G126" s="9">
        <f>Table1[[#This Row],[Quantity]]*Table1[[#This Row],[Price]]</f>
        <v>15473.04</v>
      </c>
    </row>
    <row r="127" spans="1:7" ht="21" customHeight="1" x14ac:dyDescent="0.3">
      <c r="A127" s="1" t="s">
        <v>112</v>
      </c>
      <c r="B127" s="1" t="str">
        <f>TEXT(Table1[[#This Row],[Date]], "YYYY-mm")</f>
        <v>2024-02</v>
      </c>
      <c r="C127" s="2" t="s">
        <v>39</v>
      </c>
      <c r="D127" s="2" t="s">
        <v>8</v>
      </c>
      <c r="E127" s="2">
        <v>11</v>
      </c>
      <c r="F127" s="2">
        <v>4.5</v>
      </c>
      <c r="G127" s="8">
        <f>Table1[[#This Row],[Quantity]]*Table1[[#This Row],[Price]]</f>
        <v>49.5</v>
      </c>
    </row>
    <row r="128" spans="1:7" ht="21" customHeight="1" x14ac:dyDescent="0.3">
      <c r="A128" s="3" t="s">
        <v>125</v>
      </c>
      <c r="B128" s="3" t="str">
        <f>TEXT(Table1[[#This Row],[Date]], "YYYY-mm")</f>
        <v>2024-05</v>
      </c>
      <c r="C128" s="4" t="s">
        <v>25</v>
      </c>
      <c r="D128" s="4" t="s">
        <v>19</v>
      </c>
      <c r="E128" s="4">
        <v>11</v>
      </c>
      <c r="F128" s="4">
        <v>677.11</v>
      </c>
      <c r="G128" s="9">
        <f>Table1[[#This Row],[Quantity]]*Table1[[#This Row],[Price]]</f>
        <v>7448.21</v>
      </c>
    </row>
    <row r="129" spans="1:7" ht="21" customHeight="1" x14ac:dyDescent="0.3">
      <c r="A129" s="1" t="s">
        <v>125</v>
      </c>
      <c r="B129" s="1" t="str">
        <f>TEXT(Table1[[#This Row],[Date]], "YYYY-mm")</f>
        <v>2024-05</v>
      </c>
      <c r="C129" s="2" t="s">
        <v>44</v>
      </c>
      <c r="D129" s="2" t="s">
        <v>8</v>
      </c>
      <c r="E129" s="2">
        <v>10</v>
      </c>
      <c r="F129" s="2">
        <v>7.59</v>
      </c>
      <c r="G129" s="8">
        <f>Table1[[#This Row],[Quantity]]*Table1[[#This Row],[Price]]</f>
        <v>75.900000000000006</v>
      </c>
    </row>
    <row r="130" spans="1:7" ht="21" customHeight="1" x14ac:dyDescent="0.3">
      <c r="A130" s="3" t="s">
        <v>30</v>
      </c>
      <c r="B130" s="3" t="str">
        <f>TEXT(Table1[[#This Row],[Date]], "YYYY-mm")</f>
        <v>2024-06</v>
      </c>
      <c r="C130" s="4" t="s">
        <v>18</v>
      </c>
      <c r="D130" s="4" t="s">
        <v>19</v>
      </c>
      <c r="E130" s="4">
        <v>8</v>
      </c>
      <c r="F130" s="4">
        <v>622.16999999999996</v>
      </c>
      <c r="G130" s="9">
        <f>Table1[[#This Row],[Quantity]]*Table1[[#This Row],[Price]]</f>
        <v>4977.3599999999997</v>
      </c>
    </row>
    <row r="131" spans="1:7" ht="21" customHeight="1" x14ac:dyDescent="0.3">
      <c r="A131" s="1" t="s">
        <v>30</v>
      </c>
      <c r="B131" s="1" t="str">
        <f>TEXT(Table1[[#This Row],[Date]], "YYYY-mm")</f>
        <v>2024-06</v>
      </c>
      <c r="C131" s="2" t="s">
        <v>44</v>
      </c>
      <c r="D131" s="2" t="s">
        <v>8</v>
      </c>
      <c r="E131" s="2">
        <v>4</v>
      </c>
      <c r="F131" s="2">
        <v>12.16</v>
      </c>
      <c r="G131" s="8">
        <f>Table1[[#This Row],[Quantity]]*Table1[[#This Row],[Price]]</f>
        <v>48.64</v>
      </c>
    </row>
    <row r="132" spans="1:7" ht="21" customHeight="1" x14ac:dyDescent="0.3">
      <c r="A132" s="3" t="s">
        <v>126</v>
      </c>
      <c r="B132" s="3" t="str">
        <f>TEXT(Table1[[#This Row],[Date]], "YYYY-mm")</f>
        <v>2024-04</v>
      </c>
      <c r="C132" s="4" t="s">
        <v>22</v>
      </c>
      <c r="D132" s="4" t="s">
        <v>13</v>
      </c>
      <c r="E132" s="4">
        <v>9</v>
      </c>
      <c r="F132" s="4">
        <v>531.73</v>
      </c>
      <c r="G132" s="9">
        <f>Table1[[#This Row],[Quantity]]*Table1[[#This Row],[Price]]</f>
        <v>4785.57</v>
      </c>
    </row>
    <row r="133" spans="1:7" ht="21" customHeight="1" x14ac:dyDescent="0.3">
      <c r="A133" s="1" t="s">
        <v>71</v>
      </c>
      <c r="B133" s="1" t="str">
        <f>TEXT(Table1[[#This Row],[Date]], "YYYY-mm")</f>
        <v>2024-02</v>
      </c>
      <c r="C133" s="2" t="s">
        <v>29</v>
      </c>
      <c r="D133" s="2" t="s">
        <v>19</v>
      </c>
      <c r="E133" s="2">
        <v>13</v>
      </c>
      <c r="F133" s="2">
        <v>1656.89</v>
      </c>
      <c r="G133" s="8">
        <f>Table1[[#This Row],[Quantity]]*Table1[[#This Row],[Price]]</f>
        <v>21539.57</v>
      </c>
    </row>
    <row r="134" spans="1:7" ht="21" customHeight="1" x14ac:dyDescent="0.3">
      <c r="A134" s="3" t="s">
        <v>73</v>
      </c>
      <c r="B134" s="3" t="str">
        <f>TEXT(Table1[[#This Row],[Date]], "YYYY-mm")</f>
        <v>2024-07</v>
      </c>
      <c r="C134" s="4" t="s">
        <v>12</v>
      </c>
      <c r="D134" s="4" t="s">
        <v>13</v>
      </c>
      <c r="E134" s="4">
        <v>13</v>
      </c>
      <c r="F134" s="4">
        <v>521.28</v>
      </c>
      <c r="G134" s="9">
        <f>Table1[[#This Row],[Quantity]]*Table1[[#This Row],[Price]]</f>
        <v>6776.6399999999994</v>
      </c>
    </row>
    <row r="135" spans="1:7" ht="21" customHeight="1" x14ac:dyDescent="0.3">
      <c r="A135" s="1" t="s">
        <v>55</v>
      </c>
      <c r="B135" s="1" t="str">
        <f>TEXT(Table1[[#This Row],[Date]], "YYYY-mm")</f>
        <v>2024-12</v>
      </c>
      <c r="C135" s="2" t="s">
        <v>12</v>
      </c>
      <c r="D135" s="2" t="s">
        <v>13</v>
      </c>
      <c r="E135" s="2">
        <v>15</v>
      </c>
      <c r="F135" s="2">
        <v>414.34</v>
      </c>
      <c r="G135" s="8">
        <f>Table1[[#This Row],[Quantity]]*Table1[[#This Row],[Price]]</f>
        <v>6215.0999999999995</v>
      </c>
    </row>
    <row r="136" spans="1:7" ht="21" customHeight="1" x14ac:dyDescent="0.3">
      <c r="A136" s="3" t="s">
        <v>51</v>
      </c>
      <c r="B136" s="3" t="str">
        <f>TEXT(Table1[[#This Row],[Date]], "YYYY-mm")</f>
        <v>2024-12</v>
      </c>
      <c r="C136" s="4" t="s">
        <v>25</v>
      </c>
      <c r="D136" s="4" t="s">
        <v>19</v>
      </c>
      <c r="E136" s="4">
        <v>14</v>
      </c>
      <c r="F136" s="4">
        <v>522.13</v>
      </c>
      <c r="G136" s="9">
        <f>Table1[[#This Row],[Quantity]]*Table1[[#This Row],[Price]]</f>
        <v>7309.82</v>
      </c>
    </row>
    <row r="137" spans="1:7" ht="21" customHeight="1" x14ac:dyDescent="0.3">
      <c r="A137" s="1" t="s">
        <v>88</v>
      </c>
      <c r="B137" s="1" t="str">
        <f>TEXT(Table1[[#This Row],[Date]], "YYYY-mm")</f>
        <v>2024-11</v>
      </c>
      <c r="C137" s="2" t="s">
        <v>10</v>
      </c>
      <c r="D137" s="2" t="s">
        <v>8</v>
      </c>
      <c r="E137" s="2">
        <v>1</v>
      </c>
      <c r="F137" s="2">
        <v>106.61</v>
      </c>
      <c r="G137" s="8">
        <f>Table1[[#This Row],[Quantity]]*Table1[[#This Row],[Price]]</f>
        <v>106.61</v>
      </c>
    </row>
    <row r="138" spans="1:7" ht="21" customHeight="1" x14ac:dyDescent="0.3">
      <c r="A138" s="3" t="s">
        <v>127</v>
      </c>
      <c r="B138" s="3" t="str">
        <f>TEXT(Table1[[#This Row],[Date]], "YYYY-mm")</f>
        <v>2024-03</v>
      </c>
      <c r="C138" s="4" t="s">
        <v>12</v>
      </c>
      <c r="D138" s="4" t="s">
        <v>13</v>
      </c>
      <c r="E138" s="4">
        <v>3</v>
      </c>
      <c r="F138" s="4">
        <v>226.34</v>
      </c>
      <c r="G138" s="9">
        <f>Table1[[#This Row],[Quantity]]*Table1[[#This Row],[Price]]</f>
        <v>679.02</v>
      </c>
    </row>
    <row r="139" spans="1:7" ht="21" customHeight="1" x14ac:dyDescent="0.3">
      <c r="A139" s="1" t="s">
        <v>128</v>
      </c>
      <c r="B139" s="1" t="str">
        <f>TEXT(Table1[[#This Row],[Date]], "YYYY-mm")</f>
        <v>2024-03</v>
      </c>
      <c r="C139" s="2" t="s">
        <v>10</v>
      </c>
      <c r="D139" s="2" t="s">
        <v>8</v>
      </c>
      <c r="E139" s="2">
        <v>1</v>
      </c>
      <c r="F139" s="2">
        <v>88.42</v>
      </c>
      <c r="G139" s="8">
        <f>Table1[[#This Row],[Quantity]]*Table1[[#This Row],[Price]]</f>
        <v>88.42</v>
      </c>
    </row>
    <row r="140" spans="1:7" ht="21" customHeight="1" x14ac:dyDescent="0.3">
      <c r="A140" s="3" t="s">
        <v>129</v>
      </c>
      <c r="B140" s="3" t="str">
        <f>TEXT(Table1[[#This Row],[Date]], "YYYY-mm")</f>
        <v>2024-04</v>
      </c>
      <c r="C140" s="4" t="s">
        <v>27</v>
      </c>
      <c r="D140" s="4" t="s">
        <v>8</v>
      </c>
      <c r="E140" s="4">
        <v>7</v>
      </c>
      <c r="F140" s="4">
        <v>160.21</v>
      </c>
      <c r="G140" s="9">
        <f>Table1[[#This Row],[Quantity]]*Table1[[#This Row],[Price]]</f>
        <v>1121.47</v>
      </c>
    </row>
    <row r="141" spans="1:7" ht="21" customHeight="1" x14ac:dyDescent="0.3">
      <c r="A141" s="1" t="s">
        <v>86</v>
      </c>
      <c r="B141" s="1" t="str">
        <f>TEXT(Table1[[#This Row],[Date]], "YYYY-mm")</f>
        <v>2024-12</v>
      </c>
      <c r="C141" s="2" t="s">
        <v>10</v>
      </c>
      <c r="D141" s="2" t="s">
        <v>8</v>
      </c>
      <c r="E141" s="2">
        <v>8</v>
      </c>
      <c r="F141" s="2">
        <v>47.55</v>
      </c>
      <c r="G141" s="8">
        <f>Table1[[#This Row],[Quantity]]*Table1[[#This Row],[Price]]</f>
        <v>380.4</v>
      </c>
    </row>
    <row r="142" spans="1:7" ht="21" customHeight="1" x14ac:dyDescent="0.3">
      <c r="A142" s="3" t="s">
        <v>130</v>
      </c>
      <c r="B142" s="3" t="str">
        <f>TEXT(Table1[[#This Row],[Date]], "YYYY-mm")</f>
        <v>2024-08</v>
      </c>
      <c r="C142" s="4" t="s">
        <v>7</v>
      </c>
      <c r="D142" s="4" t="s">
        <v>8</v>
      </c>
      <c r="E142" s="4">
        <v>2</v>
      </c>
      <c r="F142" s="4">
        <v>44.5</v>
      </c>
      <c r="G142" s="9">
        <f>Table1[[#This Row],[Quantity]]*Table1[[#This Row],[Price]]</f>
        <v>89</v>
      </c>
    </row>
    <row r="143" spans="1:7" ht="21" customHeight="1" x14ac:dyDescent="0.3">
      <c r="A143" s="1" t="s">
        <v>131</v>
      </c>
      <c r="B143" s="1" t="str">
        <f>TEXT(Table1[[#This Row],[Date]], "YYYY-mm")</f>
        <v>2024-02</v>
      </c>
      <c r="C143" s="2" t="s">
        <v>18</v>
      </c>
      <c r="D143" s="2" t="s">
        <v>19</v>
      </c>
      <c r="E143" s="2">
        <v>6</v>
      </c>
      <c r="F143" s="2">
        <v>1314.52</v>
      </c>
      <c r="G143" s="8">
        <f>Table1[[#This Row],[Quantity]]*Table1[[#This Row],[Price]]</f>
        <v>7887.12</v>
      </c>
    </row>
    <row r="144" spans="1:7" ht="21" customHeight="1" x14ac:dyDescent="0.3">
      <c r="A144" s="3" t="s">
        <v>132</v>
      </c>
      <c r="B144" s="3" t="str">
        <f>TEXT(Table1[[#This Row],[Date]], "YYYY-mm")</f>
        <v>2024-11</v>
      </c>
      <c r="C144" s="4" t="s">
        <v>18</v>
      </c>
      <c r="D144" s="4" t="s">
        <v>19</v>
      </c>
      <c r="E144" s="4">
        <v>10</v>
      </c>
      <c r="F144" s="4">
        <v>1378.54</v>
      </c>
      <c r="G144" s="9">
        <f>Table1[[#This Row],[Quantity]]*Table1[[#This Row],[Price]]</f>
        <v>13785.4</v>
      </c>
    </row>
    <row r="145" spans="1:7" ht="21" customHeight="1" x14ac:dyDescent="0.3">
      <c r="A145" s="1" t="s">
        <v>63</v>
      </c>
      <c r="B145" s="1" t="str">
        <f>TEXT(Table1[[#This Row],[Date]], "YYYY-mm")</f>
        <v>2024-07</v>
      </c>
      <c r="C145" s="2" t="s">
        <v>29</v>
      </c>
      <c r="D145" s="2" t="s">
        <v>19</v>
      </c>
      <c r="E145" s="2">
        <v>6</v>
      </c>
      <c r="F145" s="2">
        <v>1399.16</v>
      </c>
      <c r="G145" s="8">
        <f>Table1[[#This Row],[Quantity]]*Table1[[#This Row],[Price]]</f>
        <v>8394.9600000000009</v>
      </c>
    </row>
    <row r="146" spans="1:7" ht="21" customHeight="1" x14ac:dyDescent="0.3">
      <c r="A146" s="3" t="s">
        <v>28</v>
      </c>
      <c r="B146" s="3" t="str">
        <f>TEXT(Table1[[#This Row],[Date]], "YYYY-mm")</f>
        <v>2024-02</v>
      </c>
      <c r="C146" s="4" t="s">
        <v>18</v>
      </c>
      <c r="D146" s="4" t="s">
        <v>19</v>
      </c>
      <c r="E146" s="4">
        <v>11</v>
      </c>
      <c r="F146" s="4">
        <v>772.77</v>
      </c>
      <c r="G146" s="9">
        <f>Table1[[#This Row],[Quantity]]*Table1[[#This Row],[Price]]</f>
        <v>8500.4699999999993</v>
      </c>
    </row>
    <row r="147" spans="1:7" ht="21" customHeight="1" x14ac:dyDescent="0.3">
      <c r="A147" s="1" t="s">
        <v>70</v>
      </c>
      <c r="B147" s="1" t="str">
        <f>TEXT(Table1[[#This Row],[Date]], "YYYY-mm")</f>
        <v>2024-06</v>
      </c>
      <c r="C147" s="2" t="s">
        <v>10</v>
      </c>
      <c r="D147" s="2" t="s">
        <v>8</v>
      </c>
      <c r="E147" s="2">
        <v>5</v>
      </c>
      <c r="F147" s="2">
        <v>89.46</v>
      </c>
      <c r="G147" s="8">
        <f>Table1[[#This Row],[Quantity]]*Table1[[#This Row],[Price]]</f>
        <v>447.29999999999995</v>
      </c>
    </row>
    <row r="148" spans="1:7" ht="21" customHeight="1" x14ac:dyDescent="0.3">
      <c r="A148" s="3" t="s">
        <v>133</v>
      </c>
      <c r="B148" s="3" t="str">
        <f>TEXT(Table1[[#This Row],[Date]], "YYYY-mm")</f>
        <v>2024-04</v>
      </c>
      <c r="C148" s="4" t="s">
        <v>29</v>
      </c>
      <c r="D148" s="4" t="s">
        <v>19</v>
      </c>
      <c r="E148" s="4">
        <v>7</v>
      </c>
      <c r="F148" s="4">
        <v>1071.75</v>
      </c>
      <c r="G148" s="9">
        <f>Table1[[#This Row],[Quantity]]*Table1[[#This Row],[Price]]</f>
        <v>7502.25</v>
      </c>
    </row>
    <row r="149" spans="1:7" ht="21" customHeight="1" x14ac:dyDescent="0.3">
      <c r="A149" s="1" t="s">
        <v>134</v>
      </c>
      <c r="B149" s="1" t="str">
        <f>TEXT(Table1[[#This Row],[Date]], "YYYY-mm")</f>
        <v>2024-08</v>
      </c>
      <c r="C149" s="2" t="s">
        <v>22</v>
      </c>
      <c r="D149" s="2" t="s">
        <v>13</v>
      </c>
      <c r="E149" s="2">
        <v>13</v>
      </c>
      <c r="F149" s="2">
        <v>1512.97</v>
      </c>
      <c r="G149" s="8">
        <f>Table1[[#This Row],[Quantity]]*Table1[[#This Row],[Price]]</f>
        <v>19668.61</v>
      </c>
    </row>
    <row r="150" spans="1:7" ht="21" customHeight="1" x14ac:dyDescent="0.3">
      <c r="A150" s="3" t="s">
        <v>135</v>
      </c>
      <c r="B150" s="3" t="str">
        <f>TEXT(Table1[[#This Row],[Date]], "YYYY-mm")</f>
        <v>2024-04</v>
      </c>
      <c r="C150" s="4" t="s">
        <v>12</v>
      </c>
      <c r="D150" s="4" t="s">
        <v>13</v>
      </c>
      <c r="E150" s="4">
        <v>6</v>
      </c>
      <c r="F150" s="4">
        <v>521.51</v>
      </c>
      <c r="G150" s="9">
        <f>Table1[[#This Row],[Quantity]]*Table1[[#This Row],[Price]]</f>
        <v>3129.06</v>
      </c>
    </row>
    <row r="151" spans="1:7" ht="21" customHeight="1" x14ac:dyDescent="0.3">
      <c r="A151" s="1" t="s">
        <v>136</v>
      </c>
      <c r="B151" s="1" t="str">
        <f>TEXT(Table1[[#This Row],[Date]], "YYYY-mm")</f>
        <v>2024-05</v>
      </c>
      <c r="C151" s="2" t="s">
        <v>44</v>
      </c>
      <c r="D151" s="2" t="s">
        <v>8</v>
      </c>
      <c r="E151" s="2">
        <v>6</v>
      </c>
      <c r="F151" s="2">
        <v>8.5299999999999994</v>
      </c>
      <c r="G151" s="8">
        <f>Table1[[#This Row],[Quantity]]*Table1[[#This Row],[Price]]</f>
        <v>51.179999999999993</v>
      </c>
    </row>
    <row r="152" spans="1:7" ht="21" customHeight="1" x14ac:dyDescent="0.3">
      <c r="A152" s="3" t="s">
        <v>137</v>
      </c>
      <c r="B152" s="3" t="str">
        <f>TEXT(Table1[[#This Row],[Date]], "YYYY-mm")</f>
        <v>2024-12</v>
      </c>
      <c r="C152" s="4" t="s">
        <v>34</v>
      </c>
      <c r="D152" s="4" t="s">
        <v>19</v>
      </c>
      <c r="E152" s="4">
        <v>9</v>
      </c>
      <c r="F152" s="4">
        <v>1029.8399999999999</v>
      </c>
      <c r="G152" s="9">
        <f>Table1[[#This Row],[Quantity]]*Table1[[#This Row],[Price]]</f>
        <v>9268.56</v>
      </c>
    </row>
    <row r="153" spans="1:7" ht="21" customHeight="1" x14ac:dyDescent="0.3">
      <c r="A153" s="1" t="s">
        <v>127</v>
      </c>
      <c r="B153" s="1" t="str">
        <f>TEXT(Table1[[#This Row],[Date]], "YYYY-mm")</f>
        <v>2024-03</v>
      </c>
      <c r="C153" s="2" t="s">
        <v>7</v>
      </c>
      <c r="D153" s="2" t="s">
        <v>8</v>
      </c>
      <c r="E153" s="2">
        <v>7</v>
      </c>
      <c r="F153" s="2">
        <v>22.8</v>
      </c>
      <c r="G153" s="8">
        <f>Table1[[#This Row],[Quantity]]*Table1[[#This Row],[Price]]</f>
        <v>159.6</v>
      </c>
    </row>
    <row r="154" spans="1:7" ht="21" customHeight="1" x14ac:dyDescent="0.3">
      <c r="A154" s="3" t="s">
        <v>56</v>
      </c>
      <c r="B154" s="3" t="str">
        <f>TEXT(Table1[[#This Row],[Date]], "YYYY-mm")</f>
        <v>2024-06</v>
      </c>
      <c r="C154" s="4" t="s">
        <v>7</v>
      </c>
      <c r="D154" s="4" t="s">
        <v>8</v>
      </c>
      <c r="E154" s="4">
        <v>5</v>
      </c>
      <c r="F154" s="4">
        <v>70.03</v>
      </c>
      <c r="G154" s="9">
        <f>Table1[[#This Row],[Quantity]]*Table1[[#This Row],[Price]]</f>
        <v>350.15</v>
      </c>
    </row>
    <row r="155" spans="1:7" ht="21" customHeight="1" x14ac:dyDescent="0.3">
      <c r="A155" s="1" t="s">
        <v>138</v>
      </c>
      <c r="B155" s="1" t="str">
        <f>TEXT(Table1[[#This Row],[Date]], "YYYY-mm")</f>
        <v>2024-07</v>
      </c>
      <c r="C155" s="2" t="s">
        <v>12</v>
      </c>
      <c r="D155" s="2" t="s">
        <v>13</v>
      </c>
      <c r="E155" s="2">
        <v>11</v>
      </c>
      <c r="F155" s="2">
        <v>558.51</v>
      </c>
      <c r="G155" s="8">
        <f>Table1[[#This Row],[Quantity]]*Table1[[#This Row],[Price]]</f>
        <v>6143.61</v>
      </c>
    </row>
    <row r="156" spans="1:7" ht="21" customHeight="1" x14ac:dyDescent="0.3">
      <c r="A156" s="3" t="s">
        <v>61</v>
      </c>
      <c r="B156" s="3" t="str">
        <f>TEXT(Table1[[#This Row],[Date]], "YYYY-mm")</f>
        <v>2024-05</v>
      </c>
      <c r="C156" s="4" t="s">
        <v>34</v>
      </c>
      <c r="D156" s="4" t="s">
        <v>19</v>
      </c>
      <c r="E156" s="4">
        <v>9</v>
      </c>
      <c r="F156" s="4">
        <v>944.69</v>
      </c>
      <c r="G156" s="9">
        <f>Table1[[#This Row],[Quantity]]*Table1[[#This Row],[Price]]</f>
        <v>8502.2100000000009</v>
      </c>
    </row>
    <row r="157" spans="1:7" ht="21" customHeight="1" x14ac:dyDescent="0.3">
      <c r="A157" s="1" t="s">
        <v>139</v>
      </c>
      <c r="B157" s="1" t="str">
        <f>TEXT(Table1[[#This Row],[Date]], "YYYY-mm")</f>
        <v>2024-01</v>
      </c>
      <c r="C157" s="2" t="s">
        <v>10</v>
      </c>
      <c r="D157" s="2" t="s">
        <v>8</v>
      </c>
      <c r="E157" s="2">
        <v>15</v>
      </c>
      <c r="F157" s="2">
        <v>53.28</v>
      </c>
      <c r="G157" s="8">
        <f>Table1[[#This Row],[Quantity]]*Table1[[#This Row],[Price]]</f>
        <v>799.2</v>
      </c>
    </row>
    <row r="158" spans="1:7" ht="21" customHeight="1" x14ac:dyDescent="0.3">
      <c r="A158" s="3" t="s">
        <v>16</v>
      </c>
      <c r="B158" s="3" t="str">
        <f>TEXT(Table1[[#This Row],[Date]], "YYYY-mm")</f>
        <v>2024-02</v>
      </c>
      <c r="C158" s="4" t="s">
        <v>7</v>
      </c>
      <c r="D158" s="4" t="s">
        <v>8</v>
      </c>
      <c r="E158" s="4">
        <v>13</v>
      </c>
      <c r="F158" s="4">
        <v>44.13</v>
      </c>
      <c r="G158" s="9">
        <f>Table1[[#This Row],[Quantity]]*Table1[[#This Row],[Price]]</f>
        <v>573.69000000000005</v>
      </c>
    </row>
    <row r="159" spans="1:7" ht="21" customHeight="1" x14ac:dyDescent="0.3">
      <c r="A159" s="1" t="s">
        <v>80</v>
      </c>
      <c r="B159" s="1" t="str">
        <f>TEXT(Table1[[#This Row],[Date]], "YYYY-mm")</f>
        <v>2024-01</v>
      </c>
      <c r="C159" s="2" t="s">
        <v>18</v>
      </c>
      <c r="D159" s="2" t="s">
        <v>19</v>
      </c>
      <c r="E159" s="2">
        <v>12</v>
      </c>
      <c r="F159" s="2">
        <v>1315.63</v>
      </c>
      <c r="G159" s="8">
        <f>Table1[[#This Row],[Quantity]]*Table1[[#This Row],[Price]]</f>
        <v>15787.560000000001</v>
      </c>
    </row>
    <row r="160" spans="1:7" ht="21" customHeight="1" x14ac:dyDescent="0.3">
      <c r="A160" s="3" t="s">
        <v>60</v>
      </c>
      <c r="B160" s="3" t="str">
        <f>TEXT(Table1[[#This Row],[Date]], "YYYY-mm")</f>
        <v>2024-11</v>
      </c>
      <c r="C160" s="4" t="s">
        <v>15</v>
      </c>
      <c r="D160" s="4" t="s">
        <v>8</v>
      </c>
      <c r="E160" s="4">
        <v>3</v>
      </c>
      <c r="F160" s="4">
        <v>3.84</v>
      </c>
      <c r="G160" s="9">
        <f>Table1[[#This Row],[Quantity]]*Table1[[#This Row],[Price]]</f>
        <v>11.52</v>
      </c>
    </row>
    <row r="161" spans="1:7" ht="21" customHeight="1" x14ac:dyDescent="0.3">
      <c r="A161" s="1" t="s">
        <v>140</v>
      </c>
      <c r="B161" s="1" t="str">
        <f>TEXT(Table1[[#This Row],[Date]], "YYYY-mm")</f>
        <v>2024-01</v>
      </c>
      <c r="C161" s="2" t="s">
        <v>12</v>
      </c>
      <c r="D161" s="2" t="s">
        <v>13</v>
      </c>
      <c r="E161" s="2">
        <v>3</v>
      </c>
      <c r="F161" s="2">
        <v>239.04</v>
      </c>
      <c r="G161" s="8">
        <f>Table1[[#This Row],[Quantity]]*Table1[[#This Row],[Price]]</f>
        <v>717.12</v>
      </c>
    </row>
    <row r="162" spans="1:7" ht="21" customHeight="1" x14ac:dyDescent="0.3">
      <c r="A162" s="3" t="s">
        <v>141</v>
      </c>
      <c r="B162" s="3" t="str">
        <f>TEXT(Table1[[#This Row],[Date]], "YYYY-mm")</f>
        <v>2024-12</v>
      </c>
      <c r="C162" s="4" t="s">
        <v>39</v>
      </c>
      <c r="D162" s="4" t="s">
        <v>8</v>
      </c>
      <c r="E162" s="4">
        <v>6</v>
      </c>
      <c r="F162" s="4">
        <v>5.42</v>
      </c>
      <c r="G162" s="9">
        <f>Table1[[#This Row],[Quantity]]*Table1[[#This Row],[Price]]</f>
        <v>32.519999999999996</v>
      </c>
    </row>
    <row r="163" spans="1:7" ht="21" customHeight="1" x14ac:dyDescent="0.3">
      <c r="A163" s="1" t="s">
        <v>142</v>
      </c>
      <c r="B163" s="1" t="str">
        <f>TEXT(Table1[[#This Row],[Date]], "YYYY-mm")</f>
        <v>2024-03</v>
      </c>
      <c r="C163" s="2" t="s">
        <v>39</v>
      </c>
      <c r="D163" s="2" t="s">
        <v>8</v>
      </c>
      <c r="E163" s="2">
        <v>5</v>
      </c>
      <c r="F163" s="2">
        <v>5.95</v>
      </c>
      <c r="G163" s="8">
        <f>Table1[[#This Row],[Quantity]]*Table1[[#This Row],[Price]]</f>
        <v>29.75</v>
      </c>
    </row>
    <row r="164" spans="1:7" ht="21" customHeight="1" x14ac:dyDescent="0.3">
      <c r="A164" s="3" t="s">
        <v>143</v>
      </c>
      <c r="B164" s="3" t="str">
        <f>TEXT(Table1[[#This Row],[Date]], "YYYY-mm")</f>
        <v>2024-11</v>
      </c>
      <c r="C164" s="4" t="s">
        <v>44</v>
      </c>
      <c r="D164" s="4" t="s">
        <v>8</v>
      </c>
      <c r="E164" s="4">
        <v>5</v>
      </c>
      <c r="F164" s="4">
        <v>12.59</v>
      </c>
      <c r="G164" s="9">
        <f>Table1[[#This Row],[Quantity]]*Table1[[#This Row],[Price]]</f>
        <v>62.95</v>
      </c>
    </row>
    <row r="165" spans="1:7" ht="21" customHeight="1" x14ac:dyDescent="0.3">
      <c r="A165" s="1" t="s">
        <v>37</v>
      </c>
      <c r="B165" s="1" t="str">
        <f>TEXT(Table1[[#This Row],[Date]], "YYYY-mm")</f>
        <v>2024-04</v>
      </c>
      <c r="C165" s="2" t="s">
        <v>7</v>
      </c>
      <c r="D165" s="2" t="s">
        <v>8</v>
      </c>
      <c r="E165" s="2">
        <v>9</v>
      </c>
      <c r="F165" s="2">
        <v>28.04</v>
      </c>
      <c r="G165" s="8">
        <f>Table1[[#This Row],[Quantity]]*Table1[[#This Row],[Price]]</f>
        <v>252.35999999999999</v>
      </c>
    </row>
    <row r="166" spans="1:7" ht="21" customHeight="1" x14ac:dyDescent="0.3">
      <c r="A166" s="3" t="s">
        <v>82</v>
      </c>
      <c r="B166" s="3" t="str">
        <f>TEXT(Table1[[#This Row],[Date]], "YYYY-mm")</f>
        <v>2024-06</v>
      </c>
      <c r="C166" s="4" t="s">
        <v>12</v>
      </c>
      <c r="D166" s="4" t="s">
        <v>13</v>
      </c>
      <c r="E166" s="4">
        <v>13</v>
      </c>
      <c r="F166" s="4">
        <v>161.53</v>
      </c>
      <c r="G166" s="9">
        <f>Table1[[#This Row],[Quantity]]*Table1[[#This Row],[Price]]</f>
        <v>2099.89</v>
      </c>
    </row>
    <row r="167" spans="1:7" ht="21" customHeight="1" x14ac:dyDescent="0.3">
      <c r="A167" s="1" t="s">
        <v>144</v>
      </c>
      <c r="B167" s="1" t="str">
        <f>TEXT(Table1[[#This Row],[Date]], "YYYY-mm")</f>
        <v>2024-01</v>
      </c>
      <c r="C167" s="2" t="s">
        <v>22</v>
      </c>
      <c r="D167" s="2" t="s">
        <v>13</v>
      </c>
      <c r="E167" s="2">
        <v>9</v>
      </c>
      <c r="F167" s="2">
        <v>1005.5</v>
      </c>
      <c r="G167" s="8">
        <f>Table1[[#This Row],[Quantity]]*Table1[[#This Row],[Price]]</f>
        <v>9049.5</v>
      </c>
    </row>
    <row r="168" spans="1:7" ht="21" customHeight="1" x14ac:dyDescent="0.3">
      <c r="A168" s="3" t="s">
        <v>145</v>
      </c>
      <c r="B168" s="3" t="str">
        <f>TEXT(Table1[[#This Row],[Date]], "YYYY-mm")</f>
        <v>2024-01</v>
      </c>
      <c r="C168" s="4" t="s">
        <v>34</v>
      </c>
      <c r="D168" s="4" t="s">
        <v>19</v>
      </c>
      <c r="E168" s="4">
        <v>14</v>
      </c>
      <c r="F168" s="4">
        <v>719.74</v>
      </c>
      <c r="G168" s="9">
        <f>Table1[[#This Row],[Quantity]]*Table1[[#This Row],[Price]]</f>
        <v>10076.36</v>
      </c>
    </row>
    <row r="169" spans="1:7" ht="21" customHeight="1" x14ac:dyDescent="0.3">
      <c r="A169" s="1" t="s">
        <v>146</v>
      </c>
      <c r="B169" s="1" t="str">
        <f>TEXT(Table1[[#This Row],[Date]], "YYYY-mm")</f>
        <v>2024-07</v>
      </c>
      <c r="C169" s="2" t="s">
        <v>22</v>
      </c>
      <c r="D169" s="2" t="s">
        <v>13</v>
      </c>
      <c r="E169" s="2">
        <v>8</v>
      </c>
      <c r="F169" s="2">
        <v>505.05</v>
      </c>
      <c r="G169" s="8">
        <f>Table1[[#This Row],[Quantity]]*Table1[[#This Row],[Price]]</f>
        <v>4040.4</v>
      </c>
    </row>
    <row r="170" spans="1:7" ht="21" customHeight="1" x14ac:dyDescent="0.3">
      <c r="A170" s="3" t="s">
        <v>51</v>
      </c>
      <c r="B170" s="3" t="str">
        <f>TEXT(Table1[[#This Row],[Date]], "YYYY-mm")</f>
        <v>2024-12</v>
      </c>
      <c r="C170" s="4" t="s">
        <v>22</v>
      </c>
      <c r="D170" s="4" t="s">
        <v>13</v>
      </c>
      <c r="E170" s="4">
        <v>7</v>
      </c>
      <c r="F170" s="4">
        <v>1481.85</v>
      </c>
      <c r="G170" s="9">
        <f>Table1[[#This Row],[Quantity]]*Table1[[#This Row],[Price]]</f>
        <v>10372.949999999999</v>
      </c>
    </row>
    <row r="171" spans="1:7" ht="21" customHeight="1" x14ac:dyDescent="0.3">
      <c r="A171" s="1" t="s">
        <v>147</v>
      </c>
      <c r="B171" s="1" t="str">
        <f>TEXT(Table1[[#This Row],[Date]], "YYYY-mm")</f>
        <v>2024-08</v>
      </c>
      <c r="C171" s="2" t="s">
        <v>15</v>
      </c>
      <c r="D171" s="2" t="s">
        <v>8</v>
      </c>
      <c r="E171" s="2">
        <v>5</v>
      </c>
      <c r="F171" s="2">
        <v>5.39</v>
      </c>
      <c r="G171" s="8">
        <f>Table1[[#This Row],[Quantity]]*Table1[[#This Row],[Price]]</f>
        <v>26.95</v>
      </c>
    </row>
    <row r="172" spans="1:7" ht="21" customHeight="1" x14ac:dyDescent="0.3">
      <c r="A172" s="3" t="s">
        <v>140</v>
      </c>
      <c r="B172" s="3" t="str">
        <f>TEXT(Table1[[#This Row],[Date]], "YYYY-mm")</f>
        <v>2024-01</v>
      </c>
      <c r="C172" s="4" t="s">
        <v>44</v>
      </c>
      <c r="D172" s="4" t="s">
        <v>8</v>
      </c>
      <c r="E172" s="4">
        <v>3</v>
      </c>
      <c r="F172" s="4">
        <v>8.49</v>
      </c>
      <c r="G172" s="9">
        <f>Table1[[#This Row],[Quantity]]*Table1[[#This Row],[Price]]</f>
        <v>25.47</v>
      </c>
    </row>
    <row r="173" spans="1:7" ht="21" customHeight="1" x14ac:dyDescent="0.3">
      <c r="A173" s="1" t="s">
        <v>74</v>
      </c>
      <c r="B173" s="1" t="str">
        <f>TEXT(Table1[[#This Row],[Date]], "YYYY-mm")</f>
        <v>2024-03</v>
      </c>
      <c r="C173" s="2" t="s">
        <v>44</v>
      </c>
      <c r="D173" s="2" t="s">
        <v>8</v>
      </c>
      <c r="E173" s="2">
        <v>11</v>
      </c>
      <c r="F173" s="2">
        <v>9.0500000000000007</v>
      </c>
      <c r="G173" s="8">
        <f>Table1[[#This Row],[Quantity]]*Table1[[#This Row],[Price]]</f>
        <v>99.550000000000011</v>
      </c>
    </row>
    <row r="174" spans="1:7" ht="21" customHeight="1" x14ac:dyDescent="0.3">
      <c r="A174" s="3" t="s">
        <v>148</v>
      </c>
      <c r="B174" s="3" t="str">
        <f>TEXT(Table1[[#This Row],[Date]], "YYYY-mm")</f>
        <v>2024-01</v>
      </c>
      <c r="C174" s="4" t="s">
        <v>27</v>
      </c>
      <c r="D174" s="4" t="s">
        <v>8</v>
      </c>
      <c r="E174" s="4">
        <v>15</v>
      </c>
      <c r="F174" s="4">
        <v>187.91</v>
      </c>
      <c r="G174" s="9">
        <f>Table1[[#This Row],[Quantity]]*Table1[[#This Row],[Price]]</f>
        <v>2818.65</v>
      </c>
    </row>
    <row r="175" spans="1:7" ht="21" customHeight="1" x14ac:dyDescent="0.3">
      <c r="A175" s="1" t="s">
        <v>85</v>
      </c>
      <c r="B175" s="1" t="str">
        <f>TEXT(Table1[[#This Row],[Date]], "YYYY-mm")</f>
        <v>2024-02</v>
      </c>
      <c r="C175" s="2" t="s">
        <v>22</v>
      </c>
      <c r="D175" s="2" t="s">
        <v>13</v>
      </c>
      <c r="E175" s="2">
        <v>12</v>
      </c>
      <c r="F175" s="2">
        <v>856.33</v>
      </c>
      <c r="G175" s="8">
        <f>Table1[[#This Row],[Quantity]]*Table1[[#This Row],[Price]]</f>
        <v>10275.960000000001</v>
      </c>
    </row>
    <row r="176" spans="1:7" ht="21" customHeight="1" x14ac:dyDescent="0.3">
      <c r="A176" s="3" t="s">
        <v>86</v>
      </c>
      <c r="B176" s="3" t="str">
        <f>TEXT(Table1[[#This Row],[Date]], "YYYY-mm")</f>
        <v>2024-12</v>
      </c>
      <c r="C176" s="4" t="s">
        <v>10</v>
      </c>
      <c r="D176" s="4" t="s">
        <v>8</v>
      </c>
      <c r="E176" s="4">
        <v>15</v>
      </c>
      <c r="F176" s="4">
        <v>49.44</v>
      </c>
      <c r="G176" s="9">
        <f>Table1[[#This Row],[Quantity]]*Table1[[#This Row],[Price]]</f>
        <v>741.59999999999991</v>
      </c>
    </row>
    <row r="177" spans="1:7" ht="21" customHeight="1" x14ac:dyDescent="0.3">
      <c r="A177" s="1" t="s">
        <v>149</v>
      </c>
      <c r="B177" s="1" t="str">
        <f>TEXT(Table1[[#This Row],[Date]], "YYYY-mm")</f>
        <v>2024-08</v>
      </c>
      <c r="C177" s="2" t="s">
        <v>10</v>
      </c>
      <c r="D177" s="2" t="s">
        <v>8</v>
      </c>
      <c r="E177" s="2">
        <v>3</v>
      </c>
      <c r="F177" s="2">
        <v>86.13</v>
      </c>
      <c r="G177" s="8">
        <f>Table1[[#This Row],[Quantity]]*Table1[[#This Row],[Price]]</f>
        <v>258.39</v>
      </c>
    </row>
    <row r="178" spans="1:7" ht="21" customHeight="1" x14ac:dyDescent="0.3">
      <c r="A178" s="3" t="s">
        <v>150</v>
      </c>
      <c r="B178" s="3" t="str">
        <f>TEXT(Table1[[#This Row],[Date]], "YYYY-mm")</f>
        <v>2024-11</v>
      </c>
      <c r="C178" s="4" t="s">
        <v>25</v>
      </c>
      <c r="D178" s="4" t="s">
        <v>19</v>
      </c>
      <c r="E178" s="4">
        <v>4</v>
      </c>
      <c r="F178" s="4">
        <v>742.65</v>
      </c>
      <c r="G178" s="9">
        <f>Table1[[#This Row],[Quantity]]*Table1[[#This Row],[Price]]</f>
        <v>2970.6</v>
      </c>
    </row>
    <row r="179" spans="1:7" ht="21" customHeight="1" x14ac:dyDescent="0.3">
      <c r="A179" s="1" t="s">
        <v>151</v>
      </c>
      <c r="B179" s="1" t="str">
        <f>TEXT(Table1[[#This Row],[Date]], "YYYY-mm")</f>
        <v>2024-10</v>
      </c>
      <c r="C179" s="2" t="s">
        <v>27</v>
      </c>
      <c r="D179" s="2" t="s">
        <v>8</v>
      </c>
      <c r="E179" s="2">
        <v>5</v>
      </c>
      <c r="F179" s="2">
        <v>190.29</v>
      </c>
      <c r="G179" s="8">
        <f>Table1[[#This Row],[Quantity]]*Table1[[#This Row],[Price]]</f>
        <v>951.44999999999993</v>
      </c>
    </row>
    <row r="180" spans="1:7" ht="21" customHeight="1" x14ac:dyDescent="0.3">
      <c r="A180" s="3" t="s">
        <v>111</v>
      </c>
      <c r="B180" s="3" t="str">
        <f>TEXT(Table1[[#This Row],[Date]], "YYYY-mm")</f>
        <v>2024-11</v>
      </c>
      <c r="C180" s="4" t="s">
        <v>44</v>
      </c>
      <c r="D180" s="4" t="s">
        <v>8</v>
      </c>
      <c r="E180" s="4">
        <v>14</v>
      </c>
      <c r="F180" s="4">
        <v>11.89</v>
      </c>
      <c r="G180" s="9">
        <f>Table1[[#This Row],[Quantity]]*Table1[[#This Row],[Price]]</f>
        <v>166.46</v>
      </c>
    </row>
    <row r="181" spans="1:7" ht="21" customHeight="1" x14ac:dyDescent="0.3">
      <c r="A181" s="1" t="s">
        <v>152</v>
      </c>
      <c r="B181" s="1" t="str">
        <f>TEXT(Table1[[#This Row],[Date]], "YYYY-mm")</f>
        <v>2024-05</v>
      </c>
      <c r="C181" s="2" t="s">
        <v>34</v>
      </c>
      <c r="D181" s="2" t="s">
        <v>19</v>
      </c>
      <c r="E181" s="2">
        <v>5</v>
      </c>
      <c r="F181" s="2">
        <v>989.62</v>
      </c>
      <c r="G181" s="8">
        <f>Table1[[#This Row],[Quantity]]*Table1[[#This Row],[Price]]</f>
        <v>4948.1000000000004</v>
      </c>
    </row>
    <row r="182" spans="1:7" ht="21" customHeight="1" x14ac:dyDescent="0.3">
      <c r="A182" s="3" t="s">
        <v>82</v>
      </c>
      <c r="B182" s="3" t="str">
        <f>TEXT(Table1[[#This Row],[Date]], "YYYY-mm")</f>
        <v>2024-06</v>
      </c>
      <c r="C182" s="4" t="s">
        <v>27</v>
      </c>
      <c r="D182" s="4" t="s">
        <v>8</v>
      </c>
      <c r="E182" s="4">
        <v>12</v>
      </c>
      <c r="F182" s="4">
        <v>190.23</v>
      </c>
      <c r="G182" s="9">
        <f>Table1[[#This Row],[Quantity]]*Table1[[#This Row],[Price]]</f>
        <v>2282.7599999999998</v>
      </c>
    </row>
    <row r="183" spans="1:7" ht="21" customHeight="1" x14ac:dyDescent="0.3">
      <c r="A183" s="1" t="s">
        <v>90</v>
      </c>
      <c r="B183" s="1" t="str">
        <f>TEXT(Table1[[#This Row],[Date]], "YYYY-mm")</f>
        <v>2024-07</v>
      </c>
      <c r="C183" s="2" t="s">
        <v>12</v>
      </c>
      <c r="D183" s="2" t="s">
        <v>13</v>
      </c>
      <c r="E183" s="2">
        <v>7</v>
      </c>
      <c r="F183" s="2">
        <v>529.84</v>
      </c>
      <c r="G183" s="8">
        <f>Table1[[#This Row],[Quantity]]*Table1[[#This Row],[Price]]</f>
        <v>3708.88</v>
      </c>
    </row>
    <row r="184" spans="1:7" ht="21" customHeight="1" x14ac:dyDescent="0.3">
      <c r="A184" s="3" t="s">
        <v>87</v>
      </c>
      <c r="B184" s="3" t="str">
        <f>TEXT(Table1[[#This Row],[Date]], "YYYY-mm")</f>
        <v>2024-02</v>
      </c>
      <c r="C184" s="4" t="s">
        <v>29</v>
      </c>
      <c r="D184" s="4" t="s">
        <v>19</v>
      </c>
      <c r="E184" s="4">
        <v>13</v>
      </c>
      <c r="F184" s="4">
        <v>574.45000000000005</v>
      </c>
      <c r="G184" s="9">
        <f>Table1[[#This Row],[Quantity]]*Table1[[#This Row],[Price]]</f>
        <v>7467.85</v>
      </c>
    </row>
    <row r="185" spans="1:7" ht="21" customHeight="1" x14ac:dyDescent="0.3">
      <c r="A185" s="1" t="s">
        <v>153</v>
      </c>
      <c r="B185" s="1" t="str">
        <f>TEXT(Table1[[#This Row],[Date]], "YYYY-mm")</f>
        <v>2024-07</v>
      </c>
      <c r="C185" s="2" t="s">
        <v>34</v>
      </c>
      <c r="D185" s="2" t="s">
        <v>19</v>
      </c>
      <c r="E185" s="2">
        <v>13</v>
      </c>
      <c r="F185" s="2">
        <v>1706.73</v>
      </c>
      <c r="G185" s="8">
        <f>Table1[[#This Row],[Quantity]]*Table1[[#This Row],[Price]]</f>
        <v>22187.49</v>
      </c>
    </row>
    <row r="186" spans="1:7" ht="21" customHeight="1" x14ac:dyDescent="0.3">
      <c r="A186" s="3" t="s">
        <v>154</v>
      </c>
      <c r="B186" s="3" t="str">
        <f>TEXT(Table1[[#This Row],[Date]], "YYYY-mm")</f>
        <v>2024-01</v>
      </c>
      <c r="C186" s="4" t="s">
        <v>22</v>
      </c>
      <c r="D186" s="4" t="s">
        <v>13</v>
      </c>
      <c r="E186" s="4">
        <v>3</v>
      </c>
      <c r="F186" s="4">
        <v>1888.61</v>
      </c>
      <c r="G186" s="9">
        <f>Table1[[#This Row],[Quantity]]*Table1[[#This Row],[Price]]</f>
        <v>5665.83</v>
      </c>
    </row>
    <row r="187" spans="1:7" ht="21" customHeight="1" x14ac:dyDescent="0.3">
      <c r="A187" s="1" t="s">
        <v>155</v>
      </c>
      <c r="B187" s="1" t="str">
        <f>TEXT(Table1[[#This Row],[Date]], "YYYY-mm")</f>
        <v>2024-07</v>
      </c>
      <c r="C187" s="2" t="s">
        <v>27</v>
      </c>
      <c r="D187" s="2" t="s">
        <v>8</v>
      </c>
      <c r="E187" s="2">
        <v>5</v>
      </c>
      <c r="F187" s="2">
        <v>96.96</v>
      </c>
      <c r="G187" s="8">
        <f>Table1[[#This Row],[Quantity]]*Table1[[#This Row],[Price]]</f>
        <v>484.79999999999995</v>
      </c>
    </row>
    <row r="188" spans="1:7" ht="21" customHeight="1" x14ac:dyDescent="0.3">
      <c r="A188" s="3" t="s">
        <v>156</v>
      </c>
      <c r="B188" s="3" t="str">
        <f>TEXT(Table1[[#This Row],[Date]], "YYYY-mm")</f>
        <v>2024-08</v>
      </c>
      <c r="C188" s="4" t="s">
        <v>44</v>
      </c>
      <c r="D188" s="4" t="s">
        <v>8</v>
      </c>
      <c r="E188" s="4">
        <v>15</v>
      </c>
      <c r="F188" s="4">
        <v>10.46</v>
      </c>
      <c r="G188" s="9">
        <f>Table1[[#This Row],[Quantity]]*Table1[[#This Row],[Price]]</f>
        <v>156.9</v>
      </c>
    </row>
    <row r="189" spans="1:7" ht="21" customHeight="1" x14ac:dyDescent="0.3">
      <c r="A189" s="1" t="s">
        <v>157</v>
      </c>
      <c r="B189" s="1" t="str">
        <f>TEXT(Table1[[#This Row],[Date]], "YYYY-mm")</f>
        <v>2024-01</v>
      </c>
      <c r="C189" s="2" t="s">
        <v>29</v>
      </c>
      <c r="D189" s="2" t="s">
        <v>19</v>
      </c>
      <c r="E189" s="2">
        <v>5</v>
      </c>
      <c r="F189" s="2">
        <v>540.37</v>
      </c>
      <c r="G189" s="8">
        <f>Table1[[#This Row],[Quantity]]*Table1[[#This Row],[Price]]</f>
        <v>2701.85</v>
      </c>
    </row>
    <row r="190" spans="1:7" ht="21" customHeight="1" x14ac:dyDescent="0.3">
      <c r="A190" s="3" t="s">
        <v>158</v>
      </c>
      <c r="B190" s="3" t="str">
        <f>TEXT(Table1[[#This Row],[Date]], "YYYY-mm")</f>
        <v>2024-12</v>
      </c>
      <c r="C190" s="4" t="s">
        <v>18</v>
      </c>
      <c r="D190" s="4" t="s">
        <v>19</v>
      </c>
      <c r="E190" s="4">
        <v>9</v>
      </c>
      <c r="F190" s="4">
        <v>919.83</v>
      </c>
      <c r="G190" s="9">
        <f>Table1[[#This Row],[Quantity]]*Table1[[#This Row],[Price]]</f>
        <v>8278.4700000000012</v>
      </c>
    </row>
    <row r="191" spans="1:7" ht="21" customHeight="1" x14ac:dyDescent="0.3">
      <c r="A191" s="1" t="s">
        <v>37</v>
      </c>
      <c r="B191" s="1" t="str">
        <f>TEXT(Table1[[#This Row],[Date]], "YYYY-mm")</f>
        <v>2024-04</v>
      </c>
      <c r="C191" s="2" t="s">
        <v>15</v>
      </c>
      <c r="D191" s="2" t="s">
        <v>8</v>
      </c>
      <c r="E191" s="2">
        <v>10</v>
      </c>
      <c r="F191" s="2">
        <v>6.04</v>
      </c>
      <c r="G191" s="8">
        <f>Table1[[#This Row],[Quantity]]*Table1[[#This Row],[Price]]</f>
        <v>60.4</v>
      </c>
    </row>
    <row r="192" spans="1:7" ht="21" customHeight="1" x14ac:dyDescent="0.3">
      <c r="A192" s="3" t="s">
        <v>59</v>
      </c>
      <c r="B192" s="3" t="str">
        <f>TEXT(Table1[[#This Row],[Date]], "YYYY-mm")</f>
        <v>2024-10</v>
      </c>
      <c r="C192" s="4" t="s">
        <v>10</v>
      </c>
      <c r="D192" s="4" t="s">
        <v>8</v>
      </c>
      <c r="E192" s="4">
        <v>13</v>
      </c>
      <c r="F192" s="4">
        <v>47.34</v>
      </c>
      <c r="G192" s="9">
        <f>Table1[[#This Row],[Quantity]]*Table1[[#This Row],[Price]]</f>
        <v>615.42000000000007</v>
      </c>
    </row>
    <row r="193" spans="1:7" ht="21" customHeight="1" x14ac:dyDescent="0.3">
      <c r="A193" s="1" t="s">
        <v>159</v>
      </c>
      <c r="B193" s="1" t="str">
        <f>TEXT(Table1[[#This Row],[Date]], "YYYY-mm")</f>
        <v>2024-10</v>
      </c>
      <c r="C193" s="2" t="s">
        <v>25</v>
      </c>
      <c r="D193" s="2" t="s">
        <v>19</v>
      </c>
      <c r="E193" s="2">
        <v>10</v>
      </c>
      <c r="F193" s="2">
        <v>772.59</v>
      </c>
      <c r="G193" s="8">
        <f>Table1[[#This Row],[Quantity]]*Table1[[#This Row],[Price]]</f>
        <v>7725.9000000000005</v>
      </c>
    </row>
    <row r="194" spans="1:7" ht="21" customHeight="1" x14ac:dyDescent="0.3">
      <c r="A194" s="3" t="s">
        <v>61</v>
      </c>
      <c r="B194" s="3" t="str">
        <f>TEXT(Table1[[#This Row],[Date]], "YYYY-mm")</f>
        <v>2024-05</v>
      </c>
      <c r="C194" s="4" t="s">
        <v>18</v>
      </c>
      <c r="D194" s="4" t="s">
        <v>19</v>
      </c>
      <c r="E194" s="4">
        <v>4</v>
      </c>
      <c r="F194" s="4">
        <v>1190.0999999999999</v>
      </c>
      <c r="G194" s="9">
        <f>Table1[[#This Row],[Quantity]]*Table1[[#This Row],[Price]]</f>
        <v>4760.3999999999996</v>
      </c>
    </row>
    <row r="195" spans="1:7" ht="21" customHeight="1" x14ac:dyDescent="0.3">
      <c r="A195" s="1" t="s">
        <v>150</v>
      </c>
      <c r="B195" s="1" t="str">
        <f>TEXT(Table1[[#This Row],[Date]], "YYYY-mm")</f>
        <v>2024-11</v>
      </c>
      <c r="C195" s="2" t="s">
        <v>29</v>
      </c>
      <c r="D195" s="2" t="s">
        <v>19</v>
      </c>
      <c r="E195" s="2">
        <v>2</v>
      </c>
      <c r="F195" s="2">
        <v>1333.48</v>
      </c>
      <c r="G195" s="8">
        <f>Table1[[#This Row],[Quantity]]*Table1[[#This Row],[Price]]</f>
        <v>2666.96</v>
      </c>
    </row>
    <row r="196" spans="1:7" ht="21" customHeight="1" x14ac:dyDescent="0.3">
      <c r="A196" s="3" t="s">
        <v>160</v>
      </c>
      <c r="B196" s="3" t="str">
        <f>TEXT(Table1[[#This Row],[Date]], "YYYY-mm")</f>
        <v>2024-02</v>
      </c>
      <c r="C196" s="4" t="s">
        <v>44</v>
      </c>
      <c r="D196" s="4" t="s">
        <v>8</v>
      </c>
      <c r="E196" s="4">
        <v>10</v>
      </c>
      <c r="F196" s="4">
        <v>17.37</v>
      </c>
      <c r="G196" s="9">
        <f>Table1[[#This Row],[Quantity]]*Table1[[#This Row],[Price]]</f>
        <v>173.70000000000002</v>
      </c>
    </row>
    <row r="197" spans="1:7" ht="21" customHeight="1" x14ac:dyDescent="0.3">
      <c r="A197" s="1" t="s">
        <v>161</v>
      </c>
      <c r="B197" s="1" t="str">
        <f>TEXT(Table1[[#This Row],[Date]], "YYYY-mm")</f>
        <v>2024-05</v>
      </c>
      <c r="C197" s="2" t="s">
        <v>12</v>
      </c>
      <c r="D197" s="2" t="s">
        <v>13</v>
      </c>
      <c r="E197" s="2">
        <v>9</v>
      </c>
      <c r="F197" s="2">
        <v>405.74</v>
      </c>
      <c r="G197" s="8">
        <f>Table1[[#This Row],[Quantity]]*Table1[[#This Row],[Price]]</f>
        <v>3651.66</v>
      </c>
    </row>
    <row r="198" spans="1:7" ht="21" customHeight="1" x14ac:dyDescent="0.3">
      <c r="A198" s="3" t="s">
        <v>162</v>
      </c>
      <c r="B198" s="3" t="str">
        <f>TEXT(Table1[[#This Row],[Date]], "YYYY-mm")</f>
        <v>2024-05</v>
      </c>
      <c r="C198" s="4" t="s">
        <v>25</v>
      </c>
      <c r="D198" s="4" t="s">
        <v>19</v>
      </c>
      <c r="E198" s="4">
        <v>13</v>
      </c>
      <c r="F198" s="4">
        <v>518.78</v>
      </c>
      <c r="G198" s="9">
        <f>Table1[[#This Row],[Quantity]]*Table1[[#This Row],[Price]]</f>
        <v>6744.1399999999994</v>
      </c>
    </row>
    <row r="199" spans="1:7" ht="21" customHeight="1" x14ac:dyDescent="0.3">
      <c r="A199" s="1" t="s">
        <v>68</v>
      </c>
      <c r="B199" s="1" t="str">
        <f>TEXT(Table1[[#This Row],[Date]], "YYYY-mm")</f>
        <v>2024-07</v>
      </c>
      <c r="C199" s="2" t="s">
        <v>44</v>
      </c>
      <c r="D199" s="2" t="s">
        <v>8</v>
      </c>
      <c r="E199" s="2">
        <v>13</v>
      </c>
      <c r="F199" s="2">
        <v>5.67</v>
      </c>
      <c r="G199" s="8">
        <f>Table1[[#This Row],[Quantity]]*Table1[[#This Row],[Price]]</f>
        <v>73.709999999999994</v>
      </c>
    </row>
    <row r="200" spans="1:7" ht="21" customHeight="1" x14ac:dyDescent="0.3">
      <c r="A200" s="3" t="s">
        <v>163</v>
      </c>
      <c r="B200" s="3" t="str">
        <f>TEXT(Table1[[#This Row],[Date]], "YYYY-mm")</f>
        <v>2024-05</v>
      </c>
      <c r="C200" s="4" t="s">
        <v>34</v>
      </c>
      <c r="D200" s="4" t="s">
        <v>19</v>
      </c>
      <c r="E200" s="4">
        <v>5</v>
      </c>
      <c r="F200" s="4">
        <v>1617.67</v>
      </c>
      <c r="G200" s="9">
        <f>Table1[[#This Row],[Quantity]]*Table1[[#This Row],[Price]]</f>
        <v>8088.35</v>
      </c>
    </row>
    <row r="201" spans="1:7" ht="21" customHeight="1" x14ac:dyDescent="0.3">
      <c r="A201" s="1" t="s">
        <v>164</v>
      </c>
      <c r="B201" s="1" t="str">
        <f>TEXT(Table1[[#This Row],[Date]], "YYYY-mm")</f>
        <v>2024-06</v>
      </c>
      <c r="C201" s="2" t="s">
        <v>7</v>
      </c>
      <c r="D201" s="2" t="s">
        <v>8</v>
      </c>
      <c r="E201" s="2">
        <v>5</v>
      </c>
      <c r="F201" s="2">
        <v>59.4</v>
      </c>
      <c r="G201" s="8">
        <f>Table1[[#This Row],[Quantity]]*Table1[[#This Row],[Price]]</f>
        <v>297</v>
      </c>
    </row>
    <row r="202" spans="1:7" ht="21" customHeight="1" x14ac:dyDescent="0.3">
      <c r="A202" s="3" t="s">
        <v>165</v>
      </c>
      <c r="B202" s="3" t="str">
        <f>TEXT(Table1[[#This Row],[Date]], "YYYY-mm")</f>
        <v>2024-12</v>
      </c>
      <c r="C202" s="4" t="s">
        <v>34</v>
      </c>
      <c r="D202" s="4" t="s">
        <v>19</v>
      </c>
      <c r="E202" s="4">
        <v>4</v>
      </c>
      <c r="F202" s="4">
        <v>1757.84</v>
      </c>
      <c r="G202" s="9">
        <f>Table1[[#This Row],[Quantity]]*Table1[[#This Row],[Price]]</f>
        <v>7031.36</v>
      </c>
    </row>
    <row r="203" spans="1:7" ht="21" customHeight="1" x14ac:dyDescent="0.3">
      <c r="A203" s="1" t="s">
        <v>76</v>
      </c>
      <c r="B203" s="1" t="str">
        <f>TEXT(Table1[[#This Row],[Date]], "YYYY-mm")</f>
        <v>2024-12</v>
      </c>
      <c r="C203" s="2" t="s">
        <v>27</v>
      </c>
      <c r="D203" s="2" t="s">
        <v>8</v>
      </c>
      <c r="E203" s="2">
        <v>12</v>
      </c>
      <c r="F203" s="2">
        <v>101.08</v>
      </c>
      <c r="G203" s="8">
        <f>Table1[[#This Row],[Quantity]]*Table1[[#This Row],[Price]]</f>
        <v>1212.96</v>
      </c>
    </row>
    <row r="204" spans="1:7" ht="21" customHeight="1" x14ac:dyDescent="0.3">
      <c r="A204" s="3" t="s">
        <v>75</v>
      </c>
      <c r="B204" s="3" t="str">
        <f>TEXT(Table1[[#This Row],[Date]], "YYYY-mm")</f>
        <v>2024-07</v>
      </c>
      <c r="C204" s="4" t="s">
        <v>29</v>
      </c>
      <c r="D204" s="4" t="s">
        <v>19</v>
      </c>
      <c r="E204" s="4">
        <v>1</v>
      </c>
      <c r="F204" s="4">
        <v>1192.51</v>
      </c>
      <c r="G204" s="9">
        <f>Table1[[#This Row],[Quantity]]*Table1[[#This Row],[Price]]</f>
        <v>1192.51</v>
      </c>
    </row>
    <row r="205" spans="1:7" ht="21" customHeight="1" x14ac:dyDescent="0.3">
      <c r="A205" s="1" t="s">
        <v>166</v>
      </c>
      <c r="B205" s="1" t="str">
        <f>TEXT(Table1[[#This Row],[Date]], "YYYY-mm")</f>
        <v>2024-12</v>
      </c>
      <c r="C205" s="2" t="s">
        <v>15</v>
      </c>
      <c r="D205" s="2" t="s">
        <v>8</v>
      </c>
      <c r="E205" s="2">
        <v>9</v>
      </c>
      <c r="F205" s="2">
        <v>5.15</v>
      </c>
      <c r="G205" s="8">
        <f>Table1[[#This Row],[Quantity]]*Table1[[#This Row],[Price]]</f>
        <v>46.35</v>
      </c>
    </row>
    <row r="206" spans="1:7" ht="21" customHeight="1" x14ac:dyDescent="0.3">
      <c r="A206" s="3" t="s">
        <v>167</v>
      </c>
      <c r="B206" s="3" t="str">
        <f>TEXT(Table1[[#This Row],[Date]], "YYYY-mm")</f>
        <v>2024-11</v>
      </c>
      <c r="C206" s="4" t="s">
        <v>15</v>
      </c>
      <c r="D206" s="4" t="s">
        <v>8</v>
      </c>
      <c r="E206" s="4">
        <v>8</v>
      </c>
      <c r="F206" s="4">
        <v>6.42</v>
      </c>
      <c r="G206" s="9">
        <f>Table1[[#This Row],[Quantity]]*Table1[[#This Row],[Price]]</f>
        <v>51.36</v>
      </c>
    </row>
    <row r="207" spans="1:7" ht="21" customHeight="1" x14ac:dyDescent="0.3">
      <c r="A207" s="1" t="s">
        <v>168</v>
      </c>
      <c r="B207" s="1" t="str">
        <f>TEXT(Table1[[#This Row],[Date]], "YYYY-mm")</f>
        <v>2024-03</v>
      </c>
      <c r="C207" s="2" t="s">
        <v>34</v>
      </c>
      <c r="D207" s="2" t="s">
        <v>19</v>
      </c>
      <c r="E207" s="2">
        <v>13</v>
      </c>
      <c r="F207" s="2">
        <v>945.25</v>
      </c>
      <c r="G207" s="8">
        <f>Table1[[#This Row],[Quantity]]*Table1[[#This Row],[Price]]</f>
        <v>12288.25</v>
      </c>
    </row>
    <row r="208" spans="1:7" ht="21" customHeight="1" x14ac:dyDescent="0.3">
      <c r="A208" s="3" t="s">
        <v>24</v>
      </c>
      <c r="B208" s="3" t="str">
        <f>TEXT(Table1[[#This Row],[Date]], "YYYY-mm")</f>
        <v>2024-06</v>
      </c>
      <c r="C208" s="4" t="s">
        <v>29</v>
      </c>
      <c r="D208" s="4" t="s">
        <v>19</v>
      </c>
      <c r="E208" s="4">
        <v>2</v>
      </c>
      <c r="F208" s="4">
        <v>1640.26</v>
      </c>
      <c r="G208" s="9">
        <f>Table1[[#This Row],[Quantity]]*Table1[[#This Row],[Price]]</f>
        <v>3280.52</v>
      </c>
    </row>
    <row r="209" spans="1:7" ht="21" customHeight="1" x14ac:dyDescent="0.3">
      <c r="A209" s="1" t="s">
        <v>169</v>
      </c>
      <c r="B209" s="1" t="str">
        <f>TEXT(Table1[[#This Row],[Date]], "YYYY-mm")</f>
        <v>2024-10</v>
      </c>
      <c r="C209" s="2" t="s">
        <v>22</v>
      </c>
      <c r="D209" s="2" t="s">
        <v>13</v>
      </c>
      <c r="E209" s="2">
        <v>4</v>
      </c>
      <c r="F209" s="2">
        <v>886.7</v>
      </c>
      <c r="G209" s="8">
        <f>Table1[[#This Row],[Quantity]]*Table1[[#This Row],[Price]]</f>
        <v>3546.8</v>
      </c>
    </row>
    <row r="210" spans="1:7" ht="21" customHeight="1" x14ac:dyDescent="0.3">
      <c r="A210" s="3" t="s">
        <v>169</v>
      </c>
      <c r="B210" s="3" t="str">
        <f>TEXT(Table1[[#This Row],[Date]], "YYYY-mm")</f>
        <v>2024-10</v>
      </c>
      <c r="C210" s="4" t="s">
        <v>25</v>
      </c>
      <c r="D210" s="4" t="s">
        <v>19</v>
      </c>
      <c r="E210" s="4">
        <v>12</v>
      </c>
      <c r="F210" s="4">
        <v>767.06</v>
      </c>
      <c r="G210" s="9">
        <f>Table1[[#This Row],[Quantity]]*Table1[[#This Row],[Price]]</f>
        <v>9204.7199999999993</v>
      </c>
    </row>
    <row r="211" spans="1:7" ht="21" customHeight="1" x14ac:dyDescent="0.3">
      <c r="A211" s="1" t="s">
        <v>170</v>
      </c>
      <c r="B211" s="1" t="str">
        <f>TEXT(Table1[[#This Row],[Date]], "YYYY-mm")</f>
        <v>2024-04</v>
      </c>
      <c r="C211" s="2" t="s">
        <v>7</v>
      </c>
      <c r="D211" s="2" t="s">
        <v>8</v>
      </c>
      <c r="E211" s="2">
        <v>9</v>
      </c>
      <c r="F211" s="2">
        <v>59</v>
      </c>
      <c r="G211" s="8">
        <f>Table1[[#This Row],[Quantity]]*Table1[[#This Row],[Price]]</f>
        <v>531</v>
      </c>
    </row>
    <row r="212" spans="1:7" ht="21" customHeight="1" x14ac:dyDescent="0.3">
      <c r="A212" s="3" t="s">
        <v>171</v>
      </c>
      <c r="B212" s="3" t="str">
        <f>TEXT(Table1[[#This Row],[Date]], "YYYY-mm")</f>
        <v>2024-12</v>
      </c>
      <c r="C212" s="4" t="s">
        <v>27</v>
      </c>
      <c r="D212" s="4" t="s">
        <v>8</v>
      </c>
      <c r="E212" s="4">
        <v>9</v>
      </c>
      <c r="F212" s="4">
        <v>121.24</v>
      </c>
      <c r="G212" s="9">
        <f>Table1[[#This Row],[Quantity]]*Table1[[#This Row],[Price]]</f>
        <v>1091.1599999999999</v>
      </c>
    </row>
    <row r="213" spans="1:7" ht="21" customHeight="1" x14ac:dyDescent="0.3">
      <c r="A213" s="1" t="s">
        <v>172</v>
      </c>
      <c r="B213" s="1" t="str">
        <f>TEXT(Table1[[#This Row],[Date]], "YYYY-mm")</f>
        <v>2024-09</v>
      </c>
      <c r="C213" s="2" t="s">
        <v>22</v>
      </c>
      <c r="D213" s="2" t="s">
        <v>13</v>
      </c>
      <c r="E213" s="2">
        <v>1</v>
      </c>
      <c r="F213" s="2">
        <v>1918.78</v>
      </c>
      <c r="G213" s="8">
        <f>Table1[[#This Row],[Quantity]]*Table1[[#This Row],[Price]]</f>
        <v>1918.78</v>
      </c>
    </row>
    <row r="214" spans="1:7" ht="21" customHeight="1" x14ac:dyDescent="0.3">
      <c r="A214" s="3" t="s">
        <v>173</v>
      </c>
      <c r="B214" s="3" t="str">
        <f>TEXT(Table1[[#This Row],[Date]], "YYYY-mm")</f>
        <v>2024-03</v>
      </c>
      <c r="C214" s="4" t="s">
        <v>10</v>
      </c>
      <c r="D214" s="4" t="s">
        <v>8</v>
      </c>
      <c r="E214" s="4">
        <v>14</v>
      </c>
      <c r="F214" s="4">
        <v>66.430000000000007</v>
      </c>
      <c r="G214" s="9">
        <f>Table1[[#This Row],[Quantity]]*Table1[[#This Row],[Price]]</f>
        <v>930.0200000000001</v>
      </c>
    </row>
    <row r="215" spans="1:7" ht="21" customHeight="1" x14ac:dyDescent="0.3">
      <c r="A215" s="1" t="s">
        <v>122</v>
      </c>
      <c r="B215" s="1" t="str">
        <f>TEXT(Table1[[#This Row],[Date]], "YYYY-mm")</f>
        <v>2024-08</v>
      </c>
      <c r="C215" s="2" t="s">
        <v>29</v>
      </c>
      <c r="D215" s="2" t="s">
        <v>19</v>
      </c>
      <c r="E215" s="2">
        <v>1</v>
      </c>
      <c r="F215" s="2">
        <v>1812.8</v>
      </c>
      <c r="G215" s="8">
        <f>Table1[[#This Row],[Quantity]]*Table1[[#This Row],[Price]]</f>
        <v>1812.8</v>
      </c>
    </row>
    <row r="216" spans="1:7" ht="21" customHeight="1" x14ac:dyDescent="0.3">
      <c r="A216" s="3" t="s">
        <v>174</v>
      </c>
      <c r="B216" s="3" t="str">
        <f>TEXT(Table1[[#This Row],[Date]], "YYYY-mm")</f>
        <v>2024-10</v>
      </c>
      <c r="C216" s="4" t="s">
        <v>39</v>
      </c>
      <c r="D216" s="4" t="s">
        <v>8</v>
      </c>
      <c r="E216" s="4">
        <v>3</v>
      </c>
      <c r="F216" s="4">
        <v>3.84</v>
      </c>
      <c r="G216" s="9">
        <f>Table1[[#This Row],[Quantity]]*Table1[[#This Row],[Price]]</f>
        <v>11.52</v>
      </c>
    </row>
    <row r="217" spans="1:7" ht="21" customHeight="1" x14ac:dyDescent="0.3">
      <c r="A217" s="1" t="s">
        <v>175</v>
      </c>
      <c r="B217" s="1" t="str">
        <f>TEXT(Table1[[#This Row],[Date]], "YYYY-mm")</f>
        <v>2024-07</v>
      </c>
      <c r="C217" s="2" t="s">
        <v>10</v>
      </c>
      <c r="D217" s="2" t="s">
        <v>8</v>
      </c>
      <c r="E217" s="2">
        <v>15</v>
      </c>
      <c r="F217" s="2">
        <v>40.119999999999997</v>
      </c>
      <c r="G217" s="8">
        <f>Table1[[#This Row],[Quantity]]*Table1[[#This Row],[Price]]</f>
        <v>601.79999999999995</v>
      </c>
    </row>
    <row r="218" spans="1:7" ht="21" customHeight="1" x14ac:dyDescent="0.3">
      <c r="A218" s="3" t="s">
        <v>176</v>
      </c>
      <c r="B218" s="3" t="str">
        <f>TEXT(Table1[[#This Row],[Date]], "YYYY-mm")</f>
        <v>2024-03</v>
      </c>
      <c r="C218" s="4" t="s">
        <v>27</v>
      </c>
      <c r="D218" s="4" t="s">
        <v>8</v>
      </c>
      <c r="E218" s="4">
        <v>7</v>
      </c>
      <c r="F218" s="4">
        <v>163.56</v>
      </c>
      <c r="G218" s="9">
        <f>Table1[[#This Row],[Quantity]]*Table1[[#This Row],[Price]]</f>
        <v>1144.92</v>
      </c>
    </row>
    <row r="219" spans="1:7" ht="21" customHeight="1" x14ac:dyDescent="0.3">
      <c r="A219" s="1" t="s">
        <v>177</v>
      </c>
      <c r="B219" s="1" t="str">
        <f>TEXT(Table1[[#This Row],[Date]], "YYYY-mm")</f>
        <v>2024-09</v>
      </c>
      <c r="C219" s="2" t="s">
        <v>44</v>
      </c>
      <c r="D219" s="2" t="s">
        <v>8</v>
      </c>
      <c r="E219" s="2">
        <v>10</v>
      </c>
      <c r="F219" s="2">
        <v>8.8000000000000007</v>
      </c>
      <c r="G219" s="8">
        <f>Table1[[#This Row],[Quantity]]*Table1[[#This Row],[Price]]</f>
        <v>88</v>
      </c>
    </row>
    <row r="220" spans="1:7" ht="21" customHeight="1" x14ac:dyDescent="0.3">
      <c r="A220" s="3" t="s">
        <v>142</v>
      </c>
      <c r="B220" s="3" t="str">
        <f>TEXT(Table1[[#This Row],[Date]], "YYYY-mm")</f>
        <v>2024-03</v>
      </c>
      <c r="C220" s="4" t="s">
        <v>18</v>
      </c>
      <c r="D220" s="4" t="s">
        <v>19</v>
      </c>
      <c r="E220" s="4">
        <v>2</v>
      </c>
      <c r="F220" s="4">
        <v>706.67</v>
      </c>
      <c r="G220" s="9">
        <f>Table1[[#This Row],[Quantity]]*Table1[[#This Row],[Price]]</f>
        <v>1413.34</v>
      </c>
    </row>
    <row r="221" spans="1:7" ht="21" customHeight="1" x14ac:dyDescent="0.3">
      <c r="A221" s="1" t="s">
        <v>138</v>
      </c>
      <c r="B221" s="1" t="str">
        <f>TEXT(Table1[[#This Row],[Date]], "YYYY-mm")</f>
        <v>2024-07</v>
      </c>
      <c r="C221" s="2" t="s">
        <v>22</v>
      </c>
      <c r="D221" s="2" t="s">
        <v>13</v>
      </c>
      <c r="E221" s="2">
        <v>5</v>
      </c>
      <c r="F221" s="2">
        <v>1014.63</v>
      </c>
      <c r="G221" s="8">
        <f>Table1[[#This Row],[Quantity]]*Table1[[#This Row],[Price]]</f>
        <v>5073.1499999999996</v>
      </c>
    </row>
    <row r="222" spans="1:7" ht="21" customHeight="1" x14ac:dyDescent="0.3">
      <c r="A222" s="3" t="s">
        <v>178</v>
      </c>
      <c r="B222" s="3" t="str">
        <f>TEXT(Table1[[#This Row],[Date]], "YYYY-mm")</f>
        <v>2024-01</v>
      </c>
      <c r="C222" s="4" t="s">
        <v>44</v>
      </c>
      <c r="D222" s="4" t="s">
        <v>8</v>
      </c>
      <c r="E222" s="4">
        <v>6</v>
      </c>
      <c r="F222" s="4">
        <v>7.69</v>
      </c>
      <c r="G222" s="9">
        <f>Table1[[#This Row],[Quantity]]*Table1[[#This Row],[Price]]</f>
        <v>46.14</v>
      </c>
    </row>
    <row r="223" spans="1:7" ht="21" customHeight="1" x14ac:dyDescent="0.3">
      <c r="A223" s="1" t="s">
        <v>179</v>
      </c>
      <c r="B223" s="1" t="str">
        <f>TEXT(Table1[[#This Row],[Date]], "YYYY-mm")</f>
        <v>2024-03</v>
      </c>
      <c r="C223" s="2" t="s">
        <v>25</v>
      </c>
      <c r="D223" s="2" t="s">
        <v>19</v>
      </c>
      <c r="E223" s="2">
        <v>15</v>
      </c>
      <c r="F223" s="2">
        <v>795.43</v>
      </c>
      <c r="G223" s="8">
        <f>Table1[[#This Row],[Quantity]]*Table1[[#This Row],[Price]]</f>
        <v>11931.449999999999</v>
      </c>
    </row>
    <row r="224" spans="1:7" ht="21" customHeight="1" x14ac:dyDescent="0.3">
      <c r="A224" s="3" t="s">
        <v>180</v>
      </c>
      <c r="B224" s="3" t="str">
        <f>TEXT(Table1[[#This Row],[Date]], "YYYY-mm")</f>
        <v>2024-04</v>
      </c>
      <c r="C224" s="4" t="s">
        <v>44</v>
      </c>
      <c r="D224" s="4" t="s">
        <v>8</v>
      </c>
      <c r="E224" s="4">
        <v>10</v>
      </c>
      <c r="F224" s="4">
        <v>12.04</v>
      </c>
      <c r="G224" s="9">
        <f>Table1[[#This Row],[Quantity]]*Table1[[#This Row],[Price]]</f>
        <v>120.39999999999999</v>
      </c>
    </row>
    <row r="225" spans="1:7" ht="21" customHeight="1" x14ac:dyDescent="0.3">
      <c r="A225" s="1" t="s">
        <v>134</v>
      </c>
      <c r="B225" s="1" t="str">
        <f>TEXT(Table1[[#This Row],[Date]], "YYYY-mm")</f>
        <v>2024-08</v>
      </c>
      <c r="C225" s="2" t="s">
        <v>44</v>
      </c>
      <c r="D225" s="2" t="s">
        <v>8</v>
      </c>
      <c r="E225" s="2">
        <v>13</v>
      </c>
      <c r="F225" s="2">
        <v>13.8</v>
      </c>
      <c r="G225" s="8">
        <f>Table1[[#This Row],[Quantity]]*Table1[[#This Row],[Price]]</f>
        <v>179.4</v>
      </c>
    </row>
    <row r="226" spans="1:7" ht="21" customHeight="1" x14ac:dyDescent="0.3">
      <c r="A226" s="3" t="s">
        <v>181</v>
      </c>
      <c r="B226" s="3" t="str">
        <f>TEXT(Table1[[#This Row],[Date]], "YYYY-mm")</f>
        <v>2024-08</v>
      </c>
      <c r="C226" s="4" t="s">
        <v>10</v>
      </c>
      <c r="D226" s="4" t="s">
        <v>8</v>
      </c>
      <c r="E226" s="4">
        <v>14</v>
      </c>
      <c r="F226" s="4">
        <v>95.65</v>
      </c>
      <c r="G226" s="9">
        <f>Table1[[#This Row],[Quantity]]*Table1[[#This Row],[Price]]</f>
        <v>1339.1000000000001</v>
      </c>
    </row>
    <row r="227" spans="1:7" ht="21" customHeight="1" x14ac:dyDescent="0.3">
      <c r="A227" s="1" t="s">
        <v>48</v>
      </c>
      <c r="B227" s="1" t="str">
        <f>TEXT(Table1[[#This Row],[Date]], "YYYY-mm")</f>
        <v>2024-02</v>
      </c>
      <c r="C227" s="2" t="s">
        <v>34</v>
      </c>
      <c r="D227" s="2" t="s">
        <v>19</v>
      </c>
      <c r="E227" s="2">
        <v>2</v>
      </c>
      <c r="F227" s="2">
        <v>1287.92</v>
      </c>
      <c r="G227" s="8">
        <f>Table1[[#This Row],[Quantity]]*Table1[[#This Row],[Price]]</f>
        <v>2575.84</v>
      </c>
    </row>
    <row r="228" spans="1:7" ht="21" customHeight="1" x14ac:dyDescent="0.3">
      <c r="A228" s="3" t="s">
        <v>182</v>
      </c>
      <c r="B228" s="3" t="str">
        <f>TEXT(Table1[[#This Row],[Date]], "YYYY-mm")</f>
        <v>2024-12</v>
      </c>
      <c r="C228" s="4" t="s">
        <v>10</v>
      </c>
      <c r="D228" s="4" t="s">
        <v>8</v>
      </c>
      <c r="E228" s="4">
        <v>9</v>
      </c>
      <c r="F228" s="4">
        <v>112.53</v>
      </c>
      <c r="G228" s="9">
        <f>Table1[[#This Row],[Quantity]]*Table1[[#This Row],[Price]]</f>
        <v>1012.77</v>
      </c>
    </row>
    <row r="229" spans="1:7" ht="21" customHeight="1" x14ac:dyDescent="0.3">
      <c r="A229" s="1" t="s">
        <v>62</v>
      </c>
      <c r="B229" s="1" t="str">
        <f>TEXT(Table1[[#This Row],[Date]], "YYYY-mm")</f>
        <v>2024-05</v>
      </c>
      <c r="C229" s="2" t="s">
        <v>29</v>
      </c>
      <c r="D229" s="2" t="s">
        <v>19</v>
      </c>
      <c r="E229" s="2">
        <v>15</v>
      </c>
      <c r="F229" s="2">
        <v>1342.18</v>
      </c>
      <c r="G229" s="8">
        <f>Table1[[#This Row],[Quantity]]*Table1[[#This Row],[Price]]</f>
        <v>20132.7</v>
      </c>
    </row>
    <row r="230" spans="1:7" ht="21" customHeight="1" x14ac:dyDescent="0.3">
      <c r="A230" s="3" t="s">
        <v>183</v>
      </c>
      <c r="B230" s="3" t="str">
        <f>TEXT(Table1[[#This Row],[Date]], "YYYY-mm")</f>
        <v>2024-07</v>
      </c>
      <c r="C230" s="4" t="s">
        <v>18</v>
      </c>
      <c r="D230" s="4" t="s">
        <v>19</v>
      </c>
      <c r="E230" s="4">
        <v>2</v>
      </c>
      <c r="F230" s="4">
        <v>401.9</v>
      </c>
      <c r="G230" s="9">
        <f>Table1[[#This Row],[Quantity]]*Table1[[#This Row],[Price]]</f>
        <v>803.8</v>
      </c>
    </row>
    <row r="231" spans="1:7" ht="21" customHeight="1" x14ac:dyDescent="0.3">
      <c r="A231" s="1" t="s">
        <v>184</v>
      </c>
      <c r="B231" s="1" t="str">
        <f>TEXT(Table1[[#This Row],[Date]], "YYYY-mm")</f>
        <v>2024-06</v>
      </c>
      <c r="C231" s="2" t="s">
        <v>34</v>
      </c>
      <c r="D231" s="2" t="s">
        <v>19</v>
      </c>
      <c r="E231" s="2">
        <v>15</v>
      </c>
      <c r="F231" s="2">
        <v>1666.23</v>
      </c>
      <c r="G231" s="8">
        <f>Table1[[#This Row],[Quantity]]*Table1[[#This Row],[Price]]</f>
        <v>24993.45</v>
      </c>
    </row>
    <row r="232" spans="1:7" ht="21" customHeight="1" x14ac:dyDescent="0.3">
      <c r="A232" s="3" t="s">
        <v>185</v>
      </c>
      <c r="B232" s="3" t="str">
        <f>TEXT(Table1[[#This Row],[Date]], "YYYY-mm")</f>
        <v>2024-01</v>
      </c>
      <c r="C232" s="4" t="s">
        <v>22</v>
      </c>
      <c r="D232" s="4" t="s">
        <v>13</v>
      </c>
      <c r="E232" s="4">
        <v>14</v>
      </c>
      <c r="F232" s="4">
        <v>1883.46</v>
      </c>
      <c r="G232" s="9">
        <f>Table1[[#This Row],[Quantity]]*Table1[[#This Row],[Price]]</f>
        <v>26368.440000000002</v>
      </c>
    </row>
    <row r="233" spans="1:7" ht="21" customHeight="1" x14ac:dyDescent="0.3">
      <c r="A233" s="1" t="s">
        <v>186</v>
      </c>
      <c r="B233" s="1" t="str">
        <f>TEXT(Table1[[#This Row],[Date]], "YYYY-mm")</f>
        <v>2024-02</v>
      </c>
      <c r="C233" s="2" t="s">
        <v>44</v>
      </c>
      <c r="D233" s="2" t="s">
        <v>8</v>
      </c>
      <c r="E233" s="2">
        <v>15</v>
      </c>
      <c r="F233" s="2">
        <v>11.16</v>
      </c>
      <c r="G233" s="8">
        <f>Table1[[#This Row],[Quantity]]*Table1[[#This Row],[Price]]</f>
        <v>167.4</v>
      </c>
    </row>
    <row r="234" spans="1:7" ht="21" customHeight="1" x14ac:dyDescent="0.3">
      <c r="A234" s="3" t="s">
        <v>116</v>
      </c>
      <c r="B234" s="3" t="str">
        <f>TEXT(Table1[[#This Row],[Date]], "YYYY-mm")</f>
        <v>2024-10</v>
      </c>
      <c r="C234" s="4" t="s">
        <v>12</v>
      </c>
      <c r="D234" s="4" t="s">
        <v>13</v>
      </c>
      <c r="E234" s="4">
        <v>10</v>
      </c>
      <c r="F234" s="4">
        <v>204.62</v>
      </c>
      <c r="G234" s="9">
        <f>Table1[[#This Row],[Quantity]]*Table1[[#This Row],[Price]]</f>
        <v>2046.2</v>
      </c>
    </row>
    <row r="235" spans="1:7" ht="21" customHeight="1" x14ac:dyDescent="0.3">
      <c r="A235" s="1" t="s">
        <v>51</v>
      </c>
      <c r="B235" s="1" t="str">
        <f>TEXT(Table1[[#This Row],[Date]], "YYYY-mm")</f>
        <v>2024-12</v>
      </c>
      <c r="C235" s="2" t="s">
        <v>39</v>
      </c>
      <c r="D235" s="2" t="s">
        <v>8</v>
      </c>
      <c r="E235" s="2">
        <v>5</v>
      </c>
      <c r="F235" s="2">
        <v>5.75</v>
      </c>
      <c r="G235" s="8">
        <f>Table1[[#This Row],[Quantity]]*Table1[[#This Row],[Price]]</f>
        <v>28.75</v>
      </c>
    </row>
    <row r="236" spans="1:7" ht="21" customHeight="1" x14ac:dyDescent="0.3">
      <c r="A236" s="3" t="s">
        <v>107</v>
      </c>
      <c r="B236" s="3" t="str">
        <f>TEXT(Table1[[#This Row],[Date]], "YYYY-mm")</f>
        <v>2024-08</v>
      </c>
      <c r="C236" s="4" t="s">
        <v>44</v>
      </c>
      <c r="D236" s="4" t="s">
        <v>8</v>
      </c>
      <c r="E236" s="4">
        <v>8</v>
      </c>
      <c r="F236" s="4">
        <v>14.04</v>
      </c>
      <c r="G236" s="9">
        <f>Table1[[#This Row],[Quantity]]*Table1[[#This Row],[Price]]</f>
        <v>112.32</v>
      </c>
    </row>
    <row r="237" spans="1:7" ht="21" customHeight="1" x14ac:dyDescent="0.3">
      <c r="A237" s="1" t="s">
        <v>106</v>
      </c>
      <c r="B237" s="1" t="str">
        <f>TEXT(Table1[[#This Row],[Date]], "YYYY-mm")</f>
        <v>2024-06</v>
      </c>
      <c r="C237" s="2" t="s">
        <v>12</v>
      </c>
      <c r="D237" s="2" t="s">
        <v>13</v>
      </c>
      <c r="E237" s="2">
        <v>15</v>
      </c>
      <c r="F237" s="2">
        <v>466.26</v>
      </c>
      <c r="G237" s="8">
        <f>Table1[[#This Row],[Quantity]]*Table1[[#This Row],[Price]]</f>
        <v>6993.9</v>
      </c>
    </row>
    <row r="238" spans="1:7" ht="21" customHeight="1" x14ac:dyDescent="0.3">
      <c r="A238" s="3" t="s">
        <v>187</v>
      </c>
      <c r="B238" s="3" t="str">
        <f>TEXT(Table1[[#This Row],[Date]], "YYYY-mm")</f>
        <v>2024-09</v>
      </c>
      <c r="C238" s="4" t="s">
        <v>44</v>
      </c>
      <c r="D238" s="4" t="s">
        <v>8</v>
      </c>
      <c r="E238" s="4">
        <v>14</v>
      </c>
      <c r="F238" s="4">
        <v>14.75</v>
      </c>
      <c r="G238" s="9">
        <f>Table1[[#This Row],[Quantity]]*Table1[[#This Row],[Price]]</f>
        <v>206.5</v>
      </c>
    </row>
    <row r="239" spans="1:7" ht="21" customHeight="1" x14ac:dyDescent="0.3">
      <c r="A239" s="1" t="s">
        <v>188</v>
      </c>
      <c r="B239" s="1" t="str">
        <f>TEXT(Table1[[#This Row],[Date]], "YYYY-mm")</f>
        <v>2024-09</v>
      </c>
      <c r="C239" s="2" t="s">
        <v>27</v>
      </c>
      <c r="D239" s="2" t="s">
        <v>8</v>
      </c>
      <c r="E239" s="2">
        <v>10</v>
      </c>
      <c r="F239" s="2">
        <v>111.27</v>
      </c>
      <c r="G239" s="8">
        <f>Table1[[#This Row],[Quantity]]*Table1[[#This Row],[Price]]</f>
        <v>1112.7</v>
      </c>
    </row>
    <row r="240" spans="1:7" ht="21" customHeight="1" x14ac:dyDescent="0.3">
      <c r="A240" s="3" t="s">
        <v>169</v>
      </c>
      <c r="B240" s="3" t="str">
        <f>TEXT(Table1[[#This Row],[Date]], "YYYY-mm")</f>
        <v>2024-10</v>
      </c>
      <c r="C240" s="4" t="s">
        <v>25</v>
      </c>
      <c r="D240" s="4" t="s">
        <v>19</v>
      </c>
      <c r="E240" s="4">
        <v>13</v>
      </c>
      <c r="F240" s="4">
        <v>801.09</v>
      </c>
      <c r="G240" s="9">
        <f>Table1[[#This Row],[Quantity]]*Table1[[#This Row],[Price]]</f>
        <v>10414.17</v>
      </c>
    </row>
    <row r="241" spans="1:7" ht="21" customHeight="1" x14ac:dyDescent="0.3">
      <c r="A241" s="1" t="s">
        <v>189</v>
      </c>
      <c r="B241" s="1" t="str">
        <f>TEXT(Table1[[#This Row],[Date]], "YYYY-mm")</f>
        <v>2024-09</v>
      </c>
      <c r="C241" s="2" t="s">
        <v>22</v>
      </c>
      <c r="D241" s="2" t="s">
        <v>13</v>
      </c>
      <c r="E241" s="2">
        <v>1</v>
      </c>
      <c r="F241" s="2">
        <v>1540.6</v>
      </c>
      <c r="G241" s="8">
        <f>Table1[[#This Row],[Quantity]]*Table1[[#This Row],[Price]]</f>
        <v>1540.6</v>
      </c>
    </row>
    <row r="242" spans="1:7" ht="21" customHeight="1" x14ac:dyDescent="0.3">
      <c r="A242" s="3" t="s">
        <v>186</v>
      </c>
      <c r="B242" s="3" t="str">
        <f>TEXT(Table1[[#This Row],[Date]], "YYYY-mm")</f>
        <v>2024-02</v>
      </c>
      <c r="C242" s="4" t="s">
        <v>34</v>
      </c>
      <c r="D242" s="4" t="s">
        <v>19</v>
      </c>
      <c r="E242" s="4">
        <v>4</v>
      </c>
      <c r="F242" s="4">
        <v>512.5</v>
      </c>
      <c r="G242" s="9">
        <f>Table1[[#This Row],[Quantity]]*Table1[[#This Row],[Price]]</f>
        <v>2050</v>
      </c>
    </row>
    <row r="243" spans="1:7" ht="21" customHeight="1" x14ac:dyDescent="0.3">
      <c r="A243" s="1" t="s">
        <v>159</v>
      </c>
      <c r="B243" s="1" t="str">
        <f>TEXT(Table1[[#This Row],[Date]], "YYYY-mm")</f>
        <v>2024-10</v>
      </c>
      <c r="C243" s="2" t="s">
        <v>34</v>
      </c>
      <c r="D243" s="2" t="s">
        <v>19</v>
      </c>
      <c r="E243" s="2">
        <v>12</v>
      </c>
      <c r="F243" s="2">
        <v>485.03</v>
      </c>
      <c r="G243" s="8">
        <f>Table1[[#This Row],[Quantity]]*Table1[[#This Row],[Price]]</f>
        <v>5820.36</v>
      </c>
    </row>
    <row r="244" spans="1:7" ht="21" customHeight="1" x14ac:dyDescent="0.3">
      <c r="A244" s="3" t="s">
        <v>190</v>
      </c>
      <c r="B244" s="3" t="str">
        <f>TEXT(Table1[[#This Row],[Date]], "YYYY-mm")</f>
        <v>2024-01</v>
      </c>
      <c r="C244" s="4" t="s">
        <v>7</v>
      </c>
      <c r="D244" s="4" t="s">
        <v>8</v>
      </c>
      <c r="E244" s="4">
        <v>1</v>
      </c>
      <c r="F244" s="4">
        <v>72.209999999999994</v>
      </c>
      <c r="G244" s="9">
        <f>Table1[[#This Row],[Quantity]]*Table1[[#This Row],[Price]]</f>
        <v>72.209999999999994</v>
      </c>
    </row>
    <row r="245" spans="1:7" ht="21" customHeight="1" x14ac:dyDescent="0.3">
      <c r="A245" s="1" t="s">
        <v>191</v>
      </c>
      <c r="B245" s="1" t="str">
        <f>TEXT(Table1[[#This Row],[Date]], "YYYY-mm")</f>
        <v>2024-07</v>
      </c>
      <c r="C245" s="2" t="s">
        <v>25</v>
      </c>
      <c r="D245" s="2" t="s">
        <v>19</v>
      </c>
      <c r="E245" s="2">
        <v>13</v>
      </c>
      <c r="F245" s="2">
        <v>973.15</v>
      </c>
      <c r="G245" s="8">
        <f>Table1[[#This Row],[Quantity]]*Table1[[#This Row],[Price]]</f>
        <v>12650.949999999999</v>
      </c>
    </row>
    <row r="246" spans="1:7" ht="21" customHeight="1" x14ac:dyDescent="0.3">
      <c r="A246" s="3" t="s">
        <v>192</v>
      </c>
      <c r="B246" s="3" t="str">
        <f>TEXT(Table1[[#This Row],[Date]], "YYYY-mm")</f>
        <v>2024-02</v>
      </c>
      <c r="C246" s="4" t="s">
        <v>18</v>
      </c>
      <c r="D246" s="4" t="s">
        <v>19</v>
      </c>
      <c r="E246" s="4">
        <v>13</v>
      </c>
      <c r="F246" s="4">
        <v>1189.3399999999999</v>
      </c>
      <c r="G246" s="9">
        <f>Table1[[#This Row],[Quantity]]*Table1[[#This Row],[Price]]</f>
        <v>15461.419999999998</v>
      </c>
    </row>
    <row r="247" spans="1:7" ht="21" customHeight="1" x14ac:dyDescent="0.3">
      <c r="A247" s="1" t="s">
        <v>193</v>
      </c>
      <c r="B247" s="1" t="str">
        <f>TEXT(Table1[[#This Row],[Date]], "YYYY-mm")</f>
        <v>2024-09</v>
      </c>
      <c r="C247" s="2" t="s">
        <v>18</v>
      </c>
      <c r="D247" s="2" t="s">
        <v>19</v>
      </c>
      <c r="E247" s="2">
        <v>14</v>
      </c>
      <c r="F247" s="2">
        <v>722.06</v>
      </c>
      <c r="G247" s="8">
        <f>Table1[[#This Row],[Quantity]]*Table1[[#This Row],[Price]]</f>
        <v>10108.84</v>
      </c>
    </row>
    <row r="248" spans="1:7" ht="21" customHeight="1" x14ac:dyDescent="0.3">
      <c r="A248" s="3" t="s">
        <v>54</v>
      </c>
      <c r="B248" s="3" t="str">
        <f>TEXT(Table1[[#This Row],[Date]], "YYYY-mm")</f>
        <v>2024-06</v>
      </c>
      <c r="C248" s="4" t="s">
        <v>7</v>
      </c>
      <c r="D248" s="4" t="s">
        <v>8</v>
      </c>
      <c r="E248" s="4">
        <v>10</v>
      </c>
      <c r="F248" s="4">
        <v>42.05</v>
      </c>
      <c r="G248" s="9">
        <f>Table1[[#This Row],[Quantity]]*Table1[[#This Row],[Price]]</f>
        <v>420.5</v>
      </c>
    </row>
    <row r="249" spans="1:7" ht="21" customHeight="1" x14ac:dyDescent="0.3">
      <c r="A249" s="1" t="s">
        <v>194</v>
      </c>
      <c r="B249" s="1" t="str">
        <f>TEXT(Table1[[#This Row],[Date]], "YYYY-mm")</f>
        <v>2024-02</v>
      </c>
      <c r="C249" s="2" t="s">
        <v>39</v>
      </c>
      <c r="D249" s="2" t="s">
        <v>8</v>
      </c>
      <c r="E249" s="2">
        <v>1</v>
      </c>
      <c r="F249" s="2">
        <v>6.92</v>
      </c>
      <c r="G249" s="8">
        <f>Table1[[#This Row],[Quantity]]*Table1[[#This Row],[Price]]</f>
        <v>6.92</v>
      </c>
    </row>
    <row r="250" spans="1:7" ht="21" customHeight="1" x14ac:dyDescent="0.3">
      <c r="A250" s="3" t="s">
        <v>195</v>
      </c>
      <c r="B250" s="3" t="str">
        <f>TEXT(Table1[[#This Row],[Date]], "YYYY-mm")</f>
        <v>2024-12</v>
      </c>
      <c r="C250" s="4" t="s">
        <v>29</v>
      </c>
      <c r="D250" s="4" t="s">
        <v>19</v>
      </c>
      <c r="E250" s="4">
        <v>13</v>
      </c>
      <c r="F250" s="4">
        <v>878.32</v>
      </c>
      <c r="G250" s="9">
        <f>Table1[[#This Row],[Quantity]]*Table1[[#This Row],[Price]]</f>
        <v>11418.16</v>
      </c>
    </row>
    <row r="251" spans="1:7" ht="21" customHeight="1" x14ac:dyDescent="0.3">
      <c r="A251" s="1" t="s">
        <v>157</v>
      </c>
      <c r="B251" s="1" t="str">
        <f>TEXT(Table1[[#This Row],[Date]], "YYYY-mm")</f>
        <v>2024-01</v>
      </c>
      <c r="C251" s="2" t="s">
        <v>44</v>
      </c>
      <c r="D251" s="2" t="s">
        <v>8</v>
      </c>
      <c r="E251" s="2">
        <v>10</v>
      </c>
      <c r="F251" s="2">
        <v>18.239999999999998</v>
      </c>
      <c r="G251" s="8">
        <f>Table1[[#This Row],[Quantity]]*Table1[[#This Row],[Price]]</f>
        <v>182.39999999999998</v>
      </c>
    </row>
    <row r="252" spans="1:7" ht="21" customHeight="1" x14ac:dyDescent="0.3">
      <c r="A252" s="3" t="s">
        <v>155</v>
      </c>
      <c r="B252" s="3" t="str">
        <f>TEXT(Table1[[#This Row],[Date]], "YYYY-mm")</f>
        <v>2024-07</v>
      </c>
      <c r="C252" s="4" t="s">
        <v>27</v>
      </c>
      <c r="D252" s="4" t="s">
        <v>8</v>
      </c>
      <c r="E252" s="4">
        <v>14</v>
      </c>
      <c r="F252" s="4">
        <v>98.47</v>
      </c>
      <c r="G252" s="9">
        <f>Table1[[#This Row],[Quantity]]*Table1[[#This Row],[Price]]</f>
        <v>1378.58</v>
      </c>
    </row>
    <row r="253" spans="1:7" ht="21" customHeight="1" x14ac:dyDescent="0.3">
      <c r="A253" s="1" t="s">
        <v>139</v>
      </c>
      <c r="B253" s="1" t="str">
        <f>TEXT(Table1[[#This Row],[Date]], "YYYY-mm")</f>
        <v>2024-01</v>
      </c>
      <c r="C253" s="2" t="s">
        <v>22</v>
      </c>
      <c r="D253" s="2" t="s">
        <v>13</v>
      </c>
      <c r="E253" s="2">
        <v>13</v>
      </c>
      <c r="F253" s="2">
        <v>1223.75</v>
      </c>
      <c r="G253" s="8">
        <f>Table1[[#This Row],[Quantity]]*Table1[[#This Row],[Price]]</f>
        <v>15908.75</v>
      </c>
    </row>
    <row r="254" spans="1:7" ht="21" customHeight="1" x14ac:dyDescent="0.3">
      <c r="A254" s="3" t="s">
        <v>196</v>
      </c>
      <c r="B254" s="3" t="str">
        <f>TEXT(Table1[[#This Row],[Date]], "YYYY-mm")</f>
        <v>2024-10</v>
      </c>
      <c r="C254" s="4" t="s">
        <v>39</v>
      </c>
      <c r="D254" s="4" t="s">
        <v>8</v>
      </c>
      <c r="E254" s="4">
        <v>4</v>
      </c>
      <c r="F254" s="4">
        <v>4.8099999999999996</v>
      </c>
      <c r="G254" s="9">
        <f>Table1[[#This Row],[Quantity]]*Table1[[#This Row],[Price]]</f>
        <v>19.239999999999998</v>
      </c>
    </row>
    <row r="255" spans="1:7" ht="21" customHeight="1" x14ac:dyDescent="0.3">
      <c r="A255" s="1" t="s">
        <v>197</v>
      </c>
      <c r="B255" s="1" t="str">
        <f>TEXT(Table1[[#This Row],[Date]], "YYYY-mm")</f>
        <v>2024-10</v>
      </c>
      <c r="C255" s="2" t="s">
        <v>18</v>
      </c>
      <c r="D255" s="2" t="s">
        <v>19</v>
      </c>
      <c r="E255" s="2">
        <v>12</v>
      </c>
      <c r="F255" s="2">
        <v>599.29</v>
      </c>
      <c r="G255" s="8">
        <f>Table1[[#This Row],[Quantity]]*Table1[[#This Row],[Price]]</f>
        <v>7191.48</v>
      </c>
    </row>
    <row r="256" spans="1:7" ht="21" customHeight="1" x14ac:dyDescent="0.3">
      <c r="A256" s="3" t="s">
        <v>198</v>
      </c>
      <c r="B256" s="3" t="str">
        <f>TEXT(Table1[[#This Row],[Date]], "YYYY-mm")</f>
        <v>2024-12</v>
      </c>
      <c r="C256" s="4" t="s">
        <v>34</v>
      </c>
      <c r="D256" s="4" t="s">
        <v>19</v>
      </c>
      <c r="E256" s="4">
        <v>12</v>
      </c>
      <c r="F256" s="4">
        <v>670.42</v>
      </c>
      <c r="G256" s="9">
        <f>Table1[[#This Row],[Quantity]]*Table1[[#This Row],[Price]]</f>
        <v>8045.0399999999991</v>
      </c>
    </row>
    <row r="257" spans="1:7" ht="21" customHeight="1" x14ac:dyDescent="0.3">
      <c r="A257" s="1" t="s">
        <v>199</v>
      </c>
      <c r="B257" s="1" t="str">
        <f>TEXT(Table1[[#This Row],[Date]], "YYYY-mm")</f>
        <v>2024-09</v>
      </c>
      <c r="C257" s="2" t="s">
        <v>7</v>
      </c>
      <c r="D257" s="2" t="s">
        <v>8</v>
      </c>
      <c r="E257" s="2">
        <v>10</v>
      </c>
      <c r="F257" s="2">
        <v>72.44</v>
      </c>
      <c r="G257" s="8">
        <f>Table1[[#This Row],[Quantity]]*Table1[[#This Row],[Price]]</f>
        <v>724.4</v>
      </c>
    </row>
    <row r="258" spans="1:7" ht="21" customHeight="1" x14ac:dyDescent="0.3">
      <c r="A258" s="3" t="s">
        <v>98</v>
      </c>
      <c r="B258" s="3" t="str">
        <f>TEXT(Table1[[#This Row],[Date]], "YYYY-mm")</f>
        <v>2024-03</v>
      </c>
      <c r="C258" s="4" t="s">
        <v>10</v>
      </c>
      <c r="D258" s="4" t="s">
        <v>8</v>
      </c>
      <c r="E258" s="4">
        <v>6</v>
      </c>
      <c r="F258" s="4">
        <v>40.5</v>
      </c>
      <c r="G258" s="9">
        <f>Table1[[#This Row],[Quantity]]*Table1[[#This Row],[Price]]</f>
        <v>243</v>
      </c>
    </row>
    <row r="259" spans="1:7" ht="21" customHeight="1" x14ac:dyDescent="0.3">
      <c r="A259" s="1" t="s">
        <v>200</v>
      </c>
      <c r="B259" s="1" t="str">
        <f>TEXT(Table1[[#This Row],[Date]], "YYYY-mm")</f>
        <v>2024-01</v>
      </c>
      <c r="C259" s="2" t="s">
        <v>27</v>
      </c>
      <c r="D259" s="2" t="s">
        <v>8</v>
      </c>
      <c r="E259" s="2">
        <v>9</v>
      </c>
      <c r="F259" s="2">
        <v>136.22</v>
      </c>
      <c r="G259" s="8">
        <f>Table1[[#This Row],[Quantity]]*Table1[[#This Row],[Price]]</f>
        <v>1225.98</v>
      </c>
    </row>
    <row r="260" spans="1:7" ht="21" customHeight="1" x14ac:dyDescent="0.3">
      <c r="A260" s="3" t="s">
        <v>201</v>
      </c>
      <c r="B260" s="3" t="str">
        <f>TEXT(Table1[[#This Row],[Date]], "YYYY-mm")</f>
        <v>2024-10</v>
      </c>
      <c r="C260" s="4" t="s">
        <v>22</v>
      </c>
      <c r="D260" s="4" t="s">
        <v>13</v>
      </c>
      <c r="E260" s="4">
        <v>4</v>
      </c>
      <c r="F260" s="4">
        <v>1923.26</v>
      </c>
      <c r="G260" s="9">
        <f>Table1[[#This Row],[Quantity]]*Table1[[#This Row],[Price]]</f>
        <v>7693.04</v>
      </c>
    </row>
    <row r="261" spans="1:7" ht="21" customHeight="1" x14ac:dyDescent="0.3">
      <c r="A261" s="1" t="s">
        <v>202</v>
      </c>
      <c r="B261" s="1" t="str">
        <f>TEXT(Table1[[#This Row],[Date]], "YYYY-mm")</f>
        <v>2024-09</v>
      </c>
      <c r="C261" s="2" t="s">
        <v>22</v>
      </c>
      <c r="D261" s="2" t="s">
        <v>13</v>
      </c>
      <c r="E261" s="2">
        <v>15</v>
      </c>
      <c r="F261" s="2">
        <v>1167.3599999999999</v>
      </c>
      <c r="G261" s="8">
        <f>Table1[[#This Row],[Quantity]]*Table1[[#This Row],[Price]]</f>
        <v>17510.399999999998</v>
      </c>
    </row>
    <row r="262" spans="1:7" ht="21" customHeight="1" x14ac:dyDescent="0.3">
      <c r="A262" s="3" t="s">
        <v>203</v>
      </c>
      <c r="B262" s="3" t="str">
        <f>TEXT(Table1[[#This Row],[Date]], "YYYY-mm")</f>
        <v>2024-03</v>
      </c>
      <c r="C262" s="4" t="s">
        <v>34</v>
      </c>
      <c r="D262" s="4" t="s">
        <v>19</v>
      </c>
      <c r="E262" s="4">
        <v>2</v>
      </c>
      <c r="F262" s="4">
        <v>1339.6</v>
      </c>
      <c r="G262" s="9">
        <f>Table1[[#This Row],[Quantity]]*Table1[[#This Row],[Price]]</f>
        <v>2679.2</v>
      </c>
    </row>
    <row r="263" spans="1:7" ht="21" customHeight="1" x14ac:dyDescent="0.3">
      <c r="A263" s="1" t="s">
        <v>204</v>
      </c>
      <c r="B263" s="1" t="str">
        <f>TEXT(Table1[[#This Row],[Date]], "YYYY-mm")</f>
        <v>2024-01</v>
      </c>
      <c r="C263" s="2" t="s">
        <v>34</v>
      </c>
      <c r="D263" s="2" t="s">
        <v>19</v>
      </c>
      <c r="E263" s="2">
        <v>10</v>
      </c>
      <c r="F263" s="2">
        <v>850.11</v>
      </c>
      <c r="G263" s="8">
        <f>Table1[[#This Row],[Quantity]]*Table1[[#This Row],[Price]]</f>
        <v>8501.1</v>
      </c>
    </row>
    <row r="264" spans="1:7" ht="21" customHeight="1" x14ac:dyDescent="0.3">
      <c r="A264" s="3" t="s">
        <v>205</v>
      </c>
      <c r="B264" s="3" t="str">
        <f>TEXT(Table1[[#This Row],[Date]], "YYYY-mm")</f>
        <v>2024-03</v>
      </c>
      <c r="C264" s="4" t="s">
        <v>15</v>
      </c>
      <c r="D264" s="4" t="s">
        <v>8</v>
      </c>
      <c r="E264" s="4">
        <v>15</v>
      </c>
      <c r="F264" s="4">
        <v>4.37</v>
      </c>
      <c r="G264" s="9">
        <f>Table1[[#This Row],[Quantity]]*Table1[[#This Row],[Price]]</f>
        <v>65.55</v>
      </c>
    </row>
    <row r="265" spans="1:7" ht="21" customHeight="1" x14ac:dyDescent="0.3">
      <c r="A265" s="1" t="s">
        <v>79</v>
      </c>
      <c r="B265" s="1" t="str">
        <f>TEXT(Table1[[#This Row],[Date]], "YYYY-mm")</f>
        <v>2024-06</v>
      </c>
      <c r="C265" s="2" t="s">
        <v>18</v>
      </c>
      <c r="D265" s="2" t="s">
        <v>19</v>
      </c>
      <c r="E265" s="2">
        <v>15</v>
      </c>
      <c r="F265" s="2">
        <v>1376.73</v>
      </c>
      <c r="G265" s="8">
        <f>Table1[[#This Row],[Quantity]]*Table1[[#This Row],[Price]]</f>
        <v>20650.95</v>
      </c>
    </row>
    <row r="266" spans="1:7" ht="21" customHeight="1" x14ac:dyDescent="0.3">
      <c r="A266" s="3" t="s">
        <v>112</v>
      </c>
      <c r="B266" s="3" t="str">
        <f>TEXT(Table1[[#This Row],[Date]], "YYYY-mm")</f>
        <v>2024-02</v>
      </c>
      <c r="C266" s="4" t="s">
        <v>25</v>
      </c>
      <c r="D266" s="4" t="s">
        <v>19</v>
      </c>
      <c r="E266" s="4">
        <v>15</v>
      </c>
      <c r="F266" s="4">
        <v>730.02</v>
      </c>
      <c r="G266" s="9">
        <f>Table1[[#This Row],[Quantity]]*Table1[[#This Row],[Price]]</f>
        <v>10950.3</v>
      </c>
    </row>
    <row r="267" spans="1:7" ht="21" customHeight="1" x14ac:dyDescent="0.3">
      <c r="A267" s="1" t="s">
        <v>206</v>
      </c>
      <c r="B267" s="1" t="str">
        <f>TEXT(Table1[[#This Row],[Date]], "YYYY-mm")</f>
        <v>2024-06</v>
      </c>
      <c r="C267" s="2" t="s">
        <v>44</v>
      </c>
      <c r="D267" s="2" t="s">
        <v>8</v>
      </c>
      <c r="E267" s="2">
        <v>5</v>
      </c>
      <c r="F267" s="2">
        <v>18.36</v>
      </c>
      <c r="G267" s="8">
        <f>Table1[[#This Row],[Quantity]]*Table1[[#This Row],[Price]]</f>
        <v>91.8</v>
      </c>
    </row>
    <row r="268" spans="1:7" ht="21" customHeight="1" x14ac:dyDescent="0.3">
      <c r="A268" s="3" t="s">
        <v>99</v>
      </c>
      <c r="B268" s="3" t="str">
        <f>TEXT(Table1[[#This Row],[Date]], "YYYY-mm")</f>
        <v>2024-08</v>
      </c>
      <c r="C268" s="4" t="s">
        <v>34</v>
      </c>
      <c r="D268" s="4" t="s">
        <v>19</v>
      </c>
      <c r="E268" s="4">
        <v>12</v>
      </c>
      <c r="F268" s="4">
        <v>447.83</v>
      </c>
      <c r="G268" s="9">
        <f>Table1[[#This Row],[Quantity]]*Table1[[#This Row],[Price]]</f>
        <v>5373.96</v>
      </c>
    </row>
    <row r="269" spans="1:7" ht="21" customHeight="1" x14ac:dyDescent="0.3">
      <c r="A269" s="1" t="s">
        <v>201</v>
      </c>
      <c r="B269" s="1" t="str">
        <f>TEXT(Table1[[#This Row],[Date]], "YYYY-mm")</f>
        <v>2024-10</v>
      </c>
      <c r="C269" s="2" t="s">
        <v>44</v>
      </c>
      <c r="D269" s="2" t="s">
        <v>8</v>
      </c>
      <c r="E269" s="2">
        <v>12</v>
      </c>
      <c r="F269" s="2">
        <v>16.73</v>
      </c>
      <c r="G269" s="8">
        <f>Table1[[#This Row],[Quantity]]*Table1[[#This Row],[Price]]</f>
        <v>200.76</v>
      </c>
    </row>
    <row r="270" spans="1:7" ht="21" customHeight="1" x14ac:dyDescent="0.3">
      <c r="A270" s="3" t="s">
        <v>116</v>
      </c>
      <c r="B270" s="3" t="str">
        <f>TEXT(Table1[[#This Row],[Date]], "YYYY-mm")</f>
        <v>2024-10</v>
      </c>
      <c r="C270" s="4" t="s">
        <v>12</v>
      </c>
      <c r="D270" s="4" t="s">
        <v>13</v>
      </c>
      <c r="E270" s="4">
        <v>15</v>
      </c>
      <c r="F270" s="4">
        <v>537.4</v>
      </c>
      <c r="G270" s="9">
        <f>Table1[[#This Row],[Quantity]]*Table1[[#This Row],[Price]]</f>
        <v>8061</v>
      </c>
    </row>
    <row r="271" spans="1:7" ht="21" customHeight="1" x14ac:dyDescent="0.3">
      <c r="A271" s="1" t="s">
        <v>111</v>
      </c>
      <c r="B271" s="1" t="str">
        <f>TEXT(Table1[[#This Row],[Date]], "YYYY-mm")</f>
        <v>2024-11</v>
      </c>
      <c r="C271" s="2" t="s">
        <v>12</v>
      </c>
      <c r="D271" s="2" t="s">
        <v>13</v>
      </c>
      <c r="E271" s="2">
        <v>15</v>
      </c>
      <c r="F271" s="2">
        <v>494.91</v>
      </c>
      <c r="G271" s="8">
        <f>Table1[[#This Row],[Quantity]]*Table1[[#This Row],[Price]]</f>
        <v>7423.6500000000005</v>
      </c>
    </row>
    <row r="272" spans="1:7" ht="21" customHeight="1" x14ac:dyDescent="0.3">
      <c r="A272" s="3" t="s">
        <v>207</v>
      </c>
      <c r="B272" s="3" t="str">
        <f>TEXT(Table1[[#This Row],[Date]], "YYYY-mm")</f>
        <v>2024-02</v>
      </c>
      <c r="C272" s="4" t="s">
        <v>22</v>
      </c>
      <c r="D272" s="4" t="s">
        <v>13</v>
      </c>
      <c r="E272" s="4">
        <v>4</v>
      </c>
      <c r="F272" s="4">
        <v>529.76</v>
      </c>
      <c r="G272" s="9">
        <f>Table1[[#This Row],[Quantity]]*Table1[[#This Row],[Price]]</f>
        <v>2119.04</v>
      </c>
    </row>
    <row r="273" spans="1:7" ht="21" customHeight="1" x14ac:dyDescent="0.3">
      <c r="A273" s="1" t="s">
        <v>208</v>
      </c>
      <c r="B273" s="1" t="str">
        <f>TEXT(Table1[[#This Row],[Date]], "YYYY-mm")</f>
        <v>2024-11</v>
      </c>
      <c r="C273" s="2" t="s">
        <v>27</v>
      </c>
      <c r="D273" s="2" t="s">
        <v>8</v>
      </c>
      <c r="E273" s="2">
        <v>12</v>
      </c>
      <c r="F273" s="2">
        <v>167.82</v>
      </c>
      <c r="G273" s="8">
        <f>Table1[[#This Row],[Quantity]]*Table1[[#This Row],[Price]]</f>
        <v>2013.84</v>
      </c>
    </row>
    <row r="274" spans="1:7" ht="21" customHeight="1" x14ac:dyDescent="0.3">
      <c r="A274" s="3" t="s">
        <v>209</v>
      </c>
      <c r="B274" s="3" t="str">
        <f>TEXT(Table1[[#This Row],[Date]], "YYYY-mm")</f>
        <v>2024-04</v>
      </c>
      <c r="C274" s="4" t="s">
        <v>15</v>
      </c>
      <c r="D274" s="4" t="s">
        <v>8</v>
      </c>
      <c r="E274" s="4">
        <v>2</v>
      </c>
      <c r="F274" s="4">
        <v>5.45</v>
      </c>
      <c r="G274" s="9">
        <f>Table1[[#This Row],[Quantity]]*Table1[[#This Row],[Price]]</f>
        <v>10.9</v>
      </c>
    </row>
    <row r="275" spans="1:7" ht="21" customHeight="1" x14ac:dyDescent="0.3">
      <c r="A275" s="1" t="s">
        <v>80</v>
      </c>
      <c r="B275" s="1" t="str">
        <f>TEXT(Table1[[#This Row],[Date]], "YYYY-mm")</f>
        <v>2024-01</v>
      </c>
      <c r="C275" s="2" t="s">
        <v>27</v>
      </c>
      <c r="D275" s="2" t="s">
        <v>8</v>
      </c>
      <c r="E275" s="2">
        <v>2</v>
      </c>
      <c r="F275" s="2">
        <v>232.52</v>
      </c>
      <c r="G275" s="8">
        <f>Table1[[#This Row],[Quantity]]*Table1[[#This Row],[Price]]</f>
        <v>465.04</v>
      </c>
    </row>
    <row r="276" spans="1:7" ht="21" customHeight="1" x14ac:dyDescent="0.3">
      <c r="A276" s="3" t="s">
        <v>155</v>
      </c>
      <c r="B276" s="3" t="str">
        <f>TEXT(Table1[[#This Row],[Date]], "YYYY-mm")</f>
        <v>2024-07</v>
      </c>
      <c r="C276" s="4" t="s">
        <v>29</v>
      </c>
      <c r="D276" s="4" t="s">
        <v>19</v>
      </c>
      <c r="E276" s="4">
        <v>10</v>
      </c>
      <c r="F276" s="4">
        <v>2288.0500000000002</v>
      </c>
      <c r="G276" s="9">
        <f>Table1[[#This Row],[Quantity]]*Table1[[#This Row],[Price]]</f>
        <v>22880.5</v>
      </c>
    </row>
    <row r="277" spans="1:7" ht="21" customHeight="1" x14ac:dyDescent="0.3">
      <c r="A277" s="1" t="s">
        <v>57</v>
      </c>
      <c r="B277" s="1" t="str">
        <f>TEXT(Table1[[#This Row],[Date]], "YYYY-mm")</f>
        <v>2024-07</v>
      </c>
      <c r="C277" s="2" t="s">
        <v>15</v>
      </c>
      <c r="D277" s="2" t="s">
        <v>8</v>
      </c>
      <c r="E277" s="2">
        <v>10</v>
      </c>
      <c r="F277" s="2">
        <v>5.29</v>
      </c>
      <c r="G277" s="8">
        <f>Table1[[#This Row],[Quantity]]*Table1[[#This Row],[Price]]</f>
        <v>52.9</v>
      </c>
    </row>
    <row r="278" spans="1:7" ht="21" customHeight="1" x14ac:dyDescent="0.3">
      <c r="A278" s="3" t="s">
        <v>210</v>
      </c>
      <c r="B278" s="3" t="str">
        <f>TEXT(Table1[[#This Row],[Date]], "YYYY-mm")</f>
        <v>2024-03</v>
      </c>
      <c r="C278" s="4" t="s">
        <v>18</v>
      </c>
      <c r="D278" s="4" t="s">
        <v>19</v>
      </c>
      <c r="E278" s="4">
        <v>5</v>
      </c>
      <c r="F278" s="4">
        <v>1402.17</v>
      </c>
      <c r="G278" s="9">
        <f>Table1[[#This Row],[Quantity]]*Table1[[#This Row],[Price]]</f>
        <v>7010.85</v>
      </c>
    </row>
    <row r="279" spans="1:7" ht="21" customHeight="1" x14ac:dyDescent="0.3">
      <c r="A279" s="1" t="s">
        <v>211</v>
      </c>
      <c r="B279" s="1" t="str">
        <f>TEXT(Table1[[#This Row],[Date]], "YYYY-mm")</f>
        <v>2024-11</v>
      </c>
      <c r="C279" s="2" t="s">
        <v>34</v>
      </c>
      <c r="D279" s="2" t="s">
        <v>19</v>
      </c>
      <c r="E279" s="2">
        <v>5</v>
      </c>
      <c r="F279" s="2">
        <v>1264.23</v>
      </c>
      <c r="G279" s="8">
        <f>Table1[[#This Row],[Quantity]]*Table1[[#This Row],[Price]]</f>
        <v>6321.15</v>
      </c>
    </row>
    <row r="280" spans="1:7" ht="21" customHeight="1" x14ac:dyDescent="0.3">
      <c r="A280" s="3" t="s">
        <v>212</v>
      </c>
      <c r="B280" s="3" t="str">
        <f>TEXT(Table1[[#This Row],[Date]], "YYYY-mm")</f>
        <v>2024-06</v>
      </c>
      <c r="C280" s="4" t="s">
        <v>39</v>
      </c>
      <c r="D280" s="4" t="s">
        <v>8</v>
      </c>
      <c r="E280" s="4">
        <v>4</v>
      </c>
      <c r="F280" s="4">
        <v>6.18</v>
      </c>
      <c r="G280" s="9">
        <f>Table1[[#This Row],[Quantity]]*Table1[[#This Row],[Price]]</f>
        <v>24.72</v>
      </c>
    </row>
    <row r="281" spans="1:7" ht="21" customHeight="1" x14ac:dyDescent="0.3">
      <c r="A281" s="1" t="s">
        <v>213</v>
      </c>
      <c r="B281" s="1" t="str">
        <f>TEXT(Table1[[#This Row],[Date]], "YYYY-mm")</f>
        <v>2024-08</v>
      </c>
      <c r="C281" s="2" t="s">
        <v>27</v>
      </c>
      <c r="D281" s="2" t="s">
        <v>8</v>
      </c>
      <c r="E281" s="2">
        <v>2</v>
      </c>
      <c r="F281" s="2">
        <v>178.52</v>
      </c>
      <c r="G281" s="8">
        <f>Table1[[#This Row],[Quantity]]*Table1[[#This Row],[Price]]</f>
        <v>357.04</v>
      </c>
    </row>
    <row r="282" spans="1:7" ht="21" customHeight="1" x14ac:dyDescent="0.3">
      <c r="A282" s="3" t="s">
        <v>107</v>
      </c>
      <c r="B282" s="3" t="str">
        <f>TEXT(Table1[[#This Row],[Date]], "YYYY-mm")</f>
        <v>2024-08</v>
      </c>
      <c r="C282" s="4" t="s">
        <v>7</v>
      </c>
      <c r="D282" s="4" t="s">
        <v>8</v>
      </c>
      <c r="E282" s="4">
        <v>7</v>
      </c>
      <c r="F282" s="4">
        <v>34.69</v>
      </c>
      <c r="G282" s="9">
        <f>Table1[[#This Row],[Quantity]]*Table1[[#This Row],[Price]]</f>
        <v>242.82999999999998</v>
      </c>
    </row>
    <row r="283" spans="1:7" ht="21" customHeight="1" x14ac:dyDescent="0.3">
      <c r="A283" s="1" t="s">
        <v>214</v>
      </c>
      <c r="B283" s="1" t="str">
        <f>TEXT(Table1[[#This Row],[Date]], "YYYY-mm")</f>
        <v>2024-01</v>
      </c>
      <c r="C283" s="2" t="s">
        <v>12</v>
      </c>
      <c r="D283" s="2" t="s">
        <v>13</v>
      </c>
      <c r="E283" s="2">
        <v>9</v>
      </c>
      <c r="F283" s="2">
        <v>280.75</v>
      </c>
      <c r="G283" s="8">
        <f>Table1[[#This Row],[Quantity]]*Table1[[#This Row],[Price]]</f>
        <v>2526.75</v>
      </c>
    </row>
    <row r="284" spans="1:7" ht="21" customHeight="1" x14ac:dyDescent="0.3">
      <c r="A284" s="3" t="s">
        <v>215</v>
      </c>
      <c r="B284" s="3" t="str">
        <f>TEXT(Table1[[#This Row],[Date]], "YYYY-mm")</f>
        <v>2024-07</v>
      </c>
      <c r="C284" s="4" t="s">
        <v>25</v>
      </c>
      <c r="D284" s="4" t="s">
        <v>19</v>
      </c>
      <c r="E284" s="4">
        <v>6</v>
      </c>
      <c r="F284" s="4">
        <v>762.67</v>
      </c>
      <c r="G284" s="9">
        <f>Table1[[#This Row],[Quantity]]*Table1[[#This Row],[Price]]</f>
        <v>4576.0199999999995</v>
      </c>
    </row>
    <row r="285" spans="1:7" ht="21" customHeight="1" x14ac:dyDescent="0.3">
      <c r="A285" s="1" t="s">
        <v>213</v>
      </c>
      <c r="B285" s="1" t="str">
        <f>TEXT(Table1[[#This Row],[Date]], "YYYY-mm")</f>
        <v>2024-08</v>
      </c>
      <c r="C285" s="2" t="s">
        <v>25</v>
      </c>
      <c r="D285" s="2" t="s">
        <v>19</v>
      </c>
      <c r="E285" s="2">
        <v>7</v>
      </c>
      <c r="F285" s="2">
        <v>714.9</v>
      </c>
      <c r="G285" s="8">
        <f>Table1[[#This Row],[Quantity]]*Table1[[#This Row],[Price]]</f>
        <v>5004.3</v>
      </c>
    </row>
    <row r="286" spans="1:7" ht="21" customHeight="1" x14ac:dyDescent="0.3">
      <c r="A286" s="3" t="s">
        <v>180</v>
      </c>
      <c r="B286" s="3" t="str">
        <f>TEXT(Table1[[#This Row],[Date]], "YYYY-mm")</f>
        <v>2024-04</v>
      </c>
      <c r="C286" s="4" t="s">
        <v>34</v>
      </c>
      <c r="D286" s="4" t="s">
        <v>19</v>
      </c>
      <c r="E286" s="4">
        <v>5</v>
      </c>
      <c r="F286" s="4">
        <v>1277.17</v>
      </c>
      <c r="G286" s="9">
        <f>Table1[[#This Row],[Quantity]]*Table1[[#This Row],[Price]]</f>
        <v>6385.85</v>
      </c>
    </row>
    <row r="287" spans="1:7" ht="21" customHeight="1" x14ac:dyDescent="0.3">
      <c r="A287" s="1" t="s">
        <v>216</v>
      </c>
      <c r="B287" s="1" t="str">
        <f>TEXT(Table1[[#This Row],[Date]], "YYYY-mm")</f>
        <v>2024-02</v>
      </c>
      <c r="C287" s="2" t="s">
        <v>29</v>
      </c>
      <c r="D287" s="2" t="s">
        <v>19</v>
      </c>
      <c r="E287" s="2">
        <v>6</v>
      </c>
      <c r="F287" s="2">
        <v>1867.72</v>
      </c>
      <c r="G287" s="8">
        <f>Table1[[#This Row],[Quantity]]*Table1[[#This Row],[Price]]</f>
        <v>11206.32</v>
      </c>
    </row>
    <row r="288" spans="1:7" ht="21" customHeight="1" x14ac:dyDescent="0.3">
      <c r="A288" s="3" t="s">
        <v>217</v>
      </c>
      <c r="B288" s="3" t="str">
        <f>TEXT(Table1[[#This Row],[Date]], "YYYY-mm")</f>
        <v>2024-12</v>
      </c>
      <c r="C288" s="4" t="s">
        <v>12</v>
      </c>
      <c r="D288" s="4" t="s">
        <v>13</v>
      </c>
      <c r="E288" s="4">
        <v>7</v>
      </c>
      <c r="F288" s="4">
        <v>388.72</v>
      </c>
      <c r="G288" s="9">
        <f>Table1[[#This Row],[Quantity]]*Table1[[#This Row],[Price]]</f>
        <v>2721.04</v>
      </c>
    </row>
    <row r="289" spans="1:7" ht="21" customHeight="1" x14ac:dyDescent="0.3">
      <c r="A289" s="1" t="s">
        <v>30</v>
      </c>
      <c r="B289" s="1" t="str">
        <f>TEXT(Table1[[#This Row],[Date]], "YYYY-mm")</f>
        <v>2024-06</v>
      </c>
      <c r="C289" s="2" t="s">
        <v>7</v>
      </c>
      <c r="D289" s="2" t="s">
        <v>8</v>
      </c>
      <c r="E289" s="2">
        <v>14</v>
      </c>
      <c r="F289" s="2">
        <v>62.47</v>
      </c>
      <c r="G289" s="8">
        <f>Table1[[#This Row],[Quantity]]*Table1[[#This Row],[Price]]</f>
        <v>874.57999999999993</v>
      </c>
    </row>
    <row r="290" spans="1:7" ht="21" customHeight="1" x14ac:dyDescent="0.3">
      <c r="A290" s="3" t="s">
        <v>218</v>
      </c>
      <c r="B290" s="3" t="str">
        <f>TEXT(Table1[[#This Row],[Date]], "YYYY-mm")</f>
        <v>2024-08</v>
      </c>
      <c r="C290" s="4" t="s">
        <v>10</v>
      </c>
      <c r="D290" s="4" t="s">
        <v>8</v>
      </c>
      <c r="E290" s="4">
        <v>5</v>
      </c>
      <c r="F290" s="4">
        <v>71.040000000000006</v>
      </c>
      <c r="G290" s="9">
        <f>Table1[[#This Row],[Quantity]]*Table1[[#This Row],[Price]]</f>
        <v>355.20000000000005</v>
      </c>
    </row>
    <row r="291" spans="1:7" ht="21" customHeight="1" x14ac:dyDescent="0.3">
      <c r="A291" s="1" t="s">
        <v>219</v>
      </c>
      <c r="B291" s="1" t="str">
        <f>TEXT(Table1[[#This Row],[Date]], "YYYY-mm")</f>
        <v>2024-04</v>
      </c>
      <c r="C291" s="2" t="s">
        <v>34</v>
      </c>
      <c r="D291" s="2" t="s">
        <v>19</v>
      </c>
      <c r="E291" s="2">
        <v>9</v>
      </c>
      <c r="F291" s="2">
        <v>527.75</v>
      </c>
      <c r="G291" s="8">
        <f>Table1[[#This Row],[Quantity]]*Table1[[#This Row],[Price]]</f>
        <v>4749.75</v>
      </c>
    </row>
    <row r="292" spans="1:7" ht="21" customHeight="1" x14ac:dyDescent="0.3">
      <c r="A292" s="3" t="s">
        <v>142</v>
      </c>
      <c r="B292" s="3" t="str">
        <f>TEXT(Table1[[#This Row],[Date]], "YYYY-mm")</f>
        <v>2024-03</v>
      </c>
      <c r="C292" s="4" t="s">
        <v>44</v>
      </c>
      <c r="D292" s="4" t="s">
        <v>8</v>
      </c>
      <c r="E292" s="4">
        <v>4</v>
      </c>
      <c r="F292" s="4">
        <v>19.55</v>
      </c>
      <c r="G292" s="9">
        <f>Table1[[#This Row],[Quantity]]*Table1[[#This Row],[Price]]</f>
        <v>78.2</v>
      </c>
    </row>
    <row r="293" spans="1:7" ht="21" customHeight="1" x14ac:dyDescent="0.3">
      <c r="A293" s="1" t="s">
        <v>168</v>
      </c>
      <c r="B293" s="1" t="str">
        <f>TEXT(Table1[[#This Row],[Date]], "YYYY-mm")</f>
        <v>2024-03</v>
      </c>
      <c r="C293" s="2" t="s">
        <v>10</v>
      </c>
      <c r="D293" s="2" t="s">
        <v>8</v>
      </c>
      <c r="E293" s="2">
        <v>6</v>
      </c>
      <c r="F293" s="2">
        <v>54.49</v>
      </c>
      <c r="G293" s="8">
        <f>Table1[[#This Row],[Quantity]]*Table1[[#This Row],[Price]]</f>
        <v>326.94</v>
      </c>
    </row>
    <row r="294" spans="1:7" ht="21" customHeight="1" x14ac:dyDescent="0.3">
      <c r="A294" s="3" t="s">
        <v>220</v>
      </c>
      <c r="B294" s="3" t="str">
        <f>TEXT(Table1[[#This Row],[Date]], "YYYY-mm")</f>
        <v>2024-10</v>
      </c>
      <c r="C294" s="4" t="s">
        <v>7</v>
      </c>
      <c r="D294" s="4" t="s">
        <v>8</v>
      </c>
      <c r="E294" s="4">
        <v>15</v>
      </c>
      <c r="F294" s="4">
        <v>53.01</v>
      </c>
      <c r="G294" s="9">
        <f>Table1[[#This Row],[Quantity]]*Table1[[#This Row],[Price]]</f>
        <v>795.15</v>
      </c>
    </row>
    <row r="295" spans="1:7" ht="21" customHeight="1" x14ac:dyDescent="0.3">
      <c r="A295" s="1" t="s">
        <v>125</v>
      </c>
      <c r="B295" s="1" t="str">
        <f>TEXT(Table1[[#This Row],[Date]], "YYYY-mm")</f>
        <v>2024-05</v>
      </c>
      <c r="C295" s="2" t="s">
        <v>22</v>
      </c>
      <c r="D295" s="2" t="s">
        <v>13</v>
      </c>
      <c r="E295" s="2">
        <v>7</v>
      </c>
      <c r="F295" s="2">
        <v>1081.58</v>
      </c>
      <c r="G295" s="8">
        <f>Table1[[#This Row],[Quantity]]*Table1[[#This Row],[Price]]</f>
        <v>7571.0599999999995</v>
      </c>
    </row>
    <row r="296" spans="1:7" ht="21" customHeight="1" x14ac:dyDescent="0.3">
      <c r="A296" s="3" t="s">
        <v>221</v>
      </c>
      <c r="B296" s="3" t="str">
        <f>TEXT(Table1[[#This Row],[Date]], "YYYY-mm")</f>
        <v>2024-10</v>
      </c>
      <c r="C296" s="4" t="s">
        <v>18</v>
      </c>
      <c r="D296" s="4" t="s">
        <v>19</v>
      </c>
      <c r="E296" s="4">
        <v>9</v>
      </c>
      <c r="F296" s="4">
        <v>559.58000000000004</v>
      </c>
      <c r="G296" s="9">
        <f>Table1[[#This Row],[Quantity]]*Table1[[#This Row],[Price]]</f>
        <v>5036.22</v>
      </c>
    </row>
    <row r="297" spans="1:7" ht="21" customHeight="1" x14ac:dyDescent="0.3">
      <c r="A297" s="1" t="s">
        <v>139</v>
      </c>
      <c r="B297" s="1" t="str">
        <f>TEXT(Table1[[#This Row],[Date]], "YYYY-mm")</f>
        <v>2024-01</v>
      </c>
      <c r="C297" s="2" t="s">
        <v>44</v>
      </c>
      <c r="D297" s="2" t="s">
        <v>8</v>
      </c>
      <c r="E297" s="2">
        <v>5</v>
      </c>
      <c r="F297" s="2">
        <v>19.11</v>
      </c>
      <c r="G297" s="8">
        <f>Table1[[#This Row],[Quantity]]*Table1[[#This Row],[Price]]</f>
        <v>95.55</v>
      </c>
    </row>
    <row r="298" spans="1:7" ht="21" customHeight="1" x14ac:dyDescent="0.3">
      <c r="A298" s="3" t="s">
        <v>222</v>
      </c>
      <c r="B298" s="3" t="str">
        <f>TEXT(Table1[[#This Row],[Date]], "YYYY-mm")</f>
        <v>2024-06</v>
      </c>
      <c r="C298" s="4" t="s">
        <v>29</v>
      </c>
      <c r="D298" s="4" t="s">
        <v>19</v>
      </c>
      <c r="E298" s="4">
        <v>4</v>
      </c>
      <c r="F298" s="4">
        <v>2246.08</v>
      </c>
      <c r="G298" s="9">
        <f>Table1[[#This Row],[Quantity]]*Table1[[#This Row],[Price]]</f>
        <v>8984.32</v>
      </c>
    </row>
    <row r="299" spans="1:7" ht="21" customHeight="1" x14ac:dyDescent="0.3">
      <c r="A299" s="1" t="s">
        <v>223</v>
      </c>
      <c r="B299" s="1" t="str">
        <f>TEXT(Table1[[#This Row],[Date]], "YYYY-mm")</f>
        <v>2024-07</v>
      </c>
      <c r="C299" s="2" t="s">
        <v>10</v>
      </c>
      <c r="D299" s="2" t="s">
        <v>8</v>
      </c>
      <c r="E299" s="2">
        <v>2</v>
      </c>
      <c r="F299" s="2">
        <v>108.16</v>
      </c>
      <c r="G299" s="8">
        <f>Table1[[#This Row],[Quantity]]*Table1[[#This Row],[Price]]</f>
        <v>216.32</v>
      </c>
    </row>
    <row r="300" spans="1:7" ht="21" customHeight="1" x14ac:dyDescent="0.3">
      <c r="A300" s="3" t="s">
        <v>218</v>
      </c>
      <c r="B300" s="3" t="str">
        <f>TEXT(Table1[[#This Row],[Date]], "YYYY-mm")</f>
        <v>2024-08</v>
      </c>
      <c r="C300" s="4" t="s">
        <v>18</v>
      </c>
      <c r="D300" s="4" t="s">
        <v>19</v>
      </c>
      <c r="E300" s="4">
        <v>14</v>
      </c>
      <c r="F300" s="4">
        <v>626.62</v>
      </c>
      <c r="G300" s="9">
        <f>Table1[[#This Row],[Quantity]]*Table1[[#This Row],[Price]]</f>
        <v>8772.68</v>
      </c>
    </row>
    <row r="301" spans="1:7" ht="21" customHeight="1" x14ac:dyDescent="0.3">
      <c r="A301" s="1" t="s">
        <v>63</v>
      </c>
      <c r="B301" s="1" t="str">
        <f>TEXT(Table1[[#This Row],[Date]], "YYYY-mm")</f>
        <v>2024-07</v>
      </c>
      <c r="C301" s="2" t="s">
        <v>25</v>
      </c>
      <c r="D301" s="2" t="s">
        <v>19</v>
      </c>
      <c r="E301" s="2">
        <v>6</v>
      </c>
      <c r="F301" s="2">
        <v>638.84</v>
      </c>
      <c r="G301" s="8">
        <f>Table1[[#This Row],[Quantity]]*Table1[[#This Row],[Price]]</f>
        <v>3833.04</v>
      </c>
    </row>
    <row r="302" spans="1:7" ht="21" customHeight="1" x14ac:dyDescent="0.3">
      <c r="A302" s="3" t="s">
        <v>161</v>
      </c>
      <c r="B302" s="3" t="str">
        <f>TEXT(Table1[[#This Row],[Date]], "YYYY-mm")</f>
        <v>2024-05</v>
      </c>
      <c r="C302" s="4" t="s">
        <v>7</v>
      </c>
      <c r="D302" s="4" t="s">
        <v>8</v>
      </c>
      <c r="E302" s="4">
        <v>10</v>
      </c>
      <c r="F302" s="4">
        <v>52.81</v>
      </c>
      <c r="G302" s="9">
        <f>Table1[[#This Row],[Quantity]]*Table1[[#This Row],[Price]]</f>
        <v>528.1</v>
      </c>
    </row>
    <row r="303" spans="1:7" ht="21" customHeight="1" x14ac:dyDescent="0.3">
      <c r="A303" s="1" t="s">
        <v>46</v>
      </c>
      <c r="B303" s="1" t="str">
        <f>TEXT(Table1[[#This Row],[Date]], "YYYY-mm")</f>
        <v>2024-05</v>
      </c>
      <c r="C303" s="2" t="s">
        <v>39</v>
      </c>
      <c r="D303" s="2" t="s">
        <v>8</v>
      </c>
      <c r="E303" s="2">
        <v>10</v>
      </c>
      <c r="F303" s="2">
        <v>5.85</v>
      </c>
      <c r="G303" s="8">
        <f>Table1[[#This Row],[Quantity]]*Table1[[#This Row],[Price]]</f>
        <v>58.5</v>
      </c>
    </row>
    <row r="304" spans="1:7" ht="21" customHeight="1" x14ac:dyDescent="0.3">
      <c r="A304" s="3" t="s">
        <v>152</v>
      </c>
      <c r="B304" s="3" t="str">
        <f>TEXT(Table1[[#This Row],[Date]], "YYYY-mm")</f>
        <v>2024-05</v>
      </c>
      <c r="C304" s="4" t="s">
        <v>10</v>
      </c>
      <c r="D304" s="4" t="s">
        <v>8</v>
      </c>
      <c r="E304" s="4">
        <v>8</v>
      </c>
      <c r="F304" s="4">
        <v>90.85</v>
      </c>
      <c r="G304" s="9">
        <f>Table1[[#This Row],[Quantity]]*Table1[[#This Row],[Price]]</f>
        <v>726.8</v>
      </c>
    </row>
    <row r="305" spans="1:7" ht="21" customHeight="1" x14ac:dyDescent="0.3">
      <c r="A305" s="1" t="s">
        <v>133</v>
      </c>
      <c r="B305" s="1" t="str">
        <f>TEXT(Table1[[#This Row],[Date]], "YYYY-mm")</f>
        <v>2024-04</v>
      </c>
      <c r="C305" s="2" t="s">
        <v>22</v>
      </c>
      <c r="D305" s="2" t="s">
        <v>13</v>
      </c>
      <c r="E305" s="2">
        <v>15</v>
      </c>
      <c r="F305" s="2">
        <v>768.54</v>
      </c>
      <c r="G305" s="8">
        <f>Table1[[#This Row],[Quantity]]*Table1[[#This Row],[Price]]</f>
        <v>11528.099999999999</v>
      </c>
    </row>
    <row r="306" spans="1:7" ht="21" customHeight="1" x14ac:dyDescent="0.3">
      <c r="A306" s="3" t="s">
        <v>221</v>
      </c>
      <c r="B306" s="3" t="str">
        <f>TEXT(Table1[[#This Row],[Date]], "YYYY-mm")</f>
        <v>2024-10</v>
      </c>
      <c r="C306" s="4" t="s">
        <v>27</v>
      </c>
      <c r="D306" s="4" t="s">
        <v>8</v>
      </c>
      <c r="E306" s="4">
        <v>2</v>
      </c>
      <c r="F306" s="4">
        <v>239.01</v>
      </c>
      <c r="G306" s="9">
        <f>Table1[[#This Row],[Quantity]]*Table1[[#This Row],[Price]]</f>
        <v>478.02</v>
      </c>
    </row>
    <row r="307" spans="1:7" ht="21" customHeight="1" x14ac:dyDescent="0.3">
      <c r="A307" s="1" t="s">
        <v>224</v>
      </c>
      <c r="B307" s="1" t="str">
        <f>TEXT(Table1[[#This Row],[Date]], "YYYY-mm")</f>
        <v>2024-09</v>
      </c>
      <c r="C307" s="2" t="s">
        <v>27</v>
      </c>
      <c r="D307" s="2" t="s">
        <v>8</v>
      </c>
      <c r="E307" s="2">
        <v>8</v>
      </c>
      <c r="F307" s="2">
        <v>137.19</v>
      </c>
      <c r="G307" s="8">
        <f>Table1[[#This Row],[Quantity]]*Table1[[#This Row],[Price]]</f>
        <v>1097.52</v>
      </c>
    </row>
    <row r="308" spans="1:7" ht="21" customHeight="1" x14ac:dyDescent="0.3">
      <c r="A308" s="3" t="s">
        <v>152</v>
      </c>
      <c r="B308" s="3" t="str">
        <f>TEXT(Table1[[#This Row],[Date]], "YYYY-mm")</f>
        <v>2024-05</v>
      </c>
      <c r="C308" s="4" t="s">
        <v>27</v>
      </c>
      <c r="D308" s="4" t="s">
        <v>8</v>
      </c>
      <c r="E308" s="4">
        <v>12</v>
      </c>
      <c r="F308" s="4">
        <v>234.26</v>
      </c>
      <c r="G308" s="9">
        <f>Table1[[#This Row],[Quantity]]*Table1[[#This Row],[Price]]</f>
        <v>2811.12</v>
      </c>
    </row>
    <row r="309" spans="1:7" ht="21" customHeight="1" x14ac:dyDescent="0.3">
      <c r="A309" s="1" t="s">
        <v>88</v>
      </c>
      <c r="B309" s="1" t="str">
        <f>TEXT(Table1[[#This Row],[Date]], "YYYY-mm")</f>
        <v>2024-11</v>
      </c>
      <c r="C309" s="2" t="s">
        <v>27</v>
      </c>
      <c r="D309" s="2" t="s">
        <v>8</v>
      </c>
      <c r="E309" s="2">
        <v>8</v>
      </c>
      <c r="F309" s="2">
        <v>238.49</v>
      </c>
      <c r="G309" s="8">
        <f>Table1[[#This Row],[Quantity]]*Table1[[#This Row],[Price]]</f>
        <v>1907.92</v>
      </c>
    </row>
    <row r="310" spans="1:7" ht="21" customHeight="1" x14ac:dyDescent="0.3">
      <c r="A310" s="3" t="s">
        <v>92</v>
      </c>
      <c r="B310" s="3" t="str">
        <f>TEXT(Table1[[#This Row],[Date]], "YYYY-mm")</f>
        <v>2024-12</v>
      </c>
      <c r="C310" s="4" t="s">
        <v>29</v>
      </c>
      <c r="D310" s="4" t="s">
        <v>19</v>
      </c>
      <c r="E310" s="4">
        <v>8</v>
      </c>
      <c r="F310" s="4">
        <v>1928.09</v>
      </c>
      <c r="G310" s="9">
        <f>Table1[[#This Row],[Quantity]]*Table1[[#This Row],[Price]]</f>
        <v>15424.72</v>
      </c>
    </row>
    <row r="311" spans="1:7" ht="21" customHeight="1" x14ac:dyDescent="0.3">
      <c r="A311" s="1" t="s">
        <v>225</v>
      </c>
      <c r="B311" s="1" t="str">
        <f>TEXT(Table1[[#This Row],[Date]], "YYYY-mm")</f>
        <v>2024-10</v>
      </c>
      <c r="C311" s="2" t="s">
        <v>15</v>
      </c>
      <c r="D311" s="2" t="s">
        <v>8</v>
      </c>
      <c r="E311" s="2">
        <v>7</v>
      </c>
      <c r="F311" s="2">
        <v>8.3800000000000008</v>
      </c>
      <c r="G311" s="8">
        <f>Table1[[#This Row],[Quantity]]*Table1[[#This Row],[Price]]</f>
        <v>58.660000000000004</v>
      </c>
    </row>
    <row r="312" spans="1:7" ht="21" customHeight="1" x14ac:dyDescent="0.3">
      <c r="A312" s="3" t="s">
        <v>53</v>
      </c>
      <c r="B312" s="3" t="str">
        <f>TEXT(Table1[[#This Row],[Date]], "YYYY-mm")</f>
        <v>2024-05</v>
      </c>
      <c r="C312" s="4" t="s">
        <v>39</v>
      </c>
      <c r="D312" s="4" t="s">
        <v>8</v>
      </c>
      <c r="E312" s="4">
        <v>15</v>
      </c>
      <c r="F312" s="4">
        <v>5.53</v>
      </c>
      <c r="G312" s="9">
        <f>Table1[[#This Row],[Quantity]]*Table1[[#This Row],[Price]]</f>
        <v>82.95</v>
      </c>
    </row>
    <row r="313" spans="1:7" ht="21" customHeight="1" x14ac:dyDescent="0.3">
      <c r="A313" s="1" t="s">
        <v>41</v>
      </c>
      <c r="B313" s="1" t="str">
        <f>TEXT(Table1[[#This Row],[Date]], "YYYY-mm")</f>
        <v>2024-02</v>
      </c>
      <c r="C313" s="2" t="s">
        <v>15</v>
      </c>
      <c r="D313" s="2" t="s">
        <v>8</v>
      </c>
      <c r="E313" s="2">
        <v>11</v>
      </c>
      <c r="F313" s="2">
        <v>8.8000000000000007</v>
      </c>
      <c r="G313" s="8">
        <f>Table1[[#This Row],[Quantity]]*Table1[[#This Row],[Price]]</f>
        <v>96.800000000000011</v>
      </c>
    </row>
    <row r="314" spans="1:7" ht="21" customHeight="1" x14ac:dyDescent="0.3">
      <c r="A314" s="3" t="s">
        <v>226</v>
      </c>
      <c r="B314" s="3" t="str">
        <f>TEXT(Table1[[#This Row],[Date]], "YYYY-mm")</f>
        <v>2024-07</v>
      </c>
      <c r="C314" s="4" t="s">
        <v>27</v>
      </c>
      <c r="D314" s="4" t="s">
        <v>8</v>
      </c>
      <c r="E314" s="4">
        <v>5</v>
      </c>
      <c r="F314" s="4">
        <v>159.22</v>
      </c>
      <c r="G314" s="9">
        <f>Table1[[#This Row],[Quantity]]*Table1[[#This Row],[Price]]</f>
        <v>796.1</v>
      </c>
    </row>
    <row r="315" spans="1:7" ht="21" customHeight="1" x14ac:dyDescent="0.3">
      <c r="A315" s="1" t="s">
        <v>227</v>
      </c>
      <c r="B315" s="1" t="str">
        <f>TEXT(Table1[[#This Row],[Date]], "YYYY-mm")</f>
        <v>2024-03</v>
      </c>
      <c r="C315" s="2" t="s">
        <v>10</v>
      </c>
      <c r="D315" s="2" t="s">
        <v>8</v>
      </c>
      <c r="E315" s="2">
        <v>3</v>
      </c>
      <c r="F315" s="2">
        <v>107.43</v>
      </c>
      <c r="G315" s="8">
        <f>Table1[[#This Row],[Quantity]]*Table1[[#This Row],[Price]]</f>
        <v>322.29000000000002</v>
      </c>
    </row>
    <row r="316" spans="1:7" ht="21" customHeight="1" x14ac:dyDescent="0.3">
      <c r="A316" s="3" t="s">
        <v>204</v>
      </c>
      <c r="B316" s="3" t="str">
        <f>TEXT(Table1[[#This Row],[Date]], "YYYY-mm")</f>
        <v>2024-01</v>
      </c>
      <c r="C316" s="4" t="s">
        <v>10</v>
      </c>
      <c r="D316" s="4" t="s">
        <v>8</v>
      </c>
      <c r="E316" s="4">
        <v>10</v>
      </c>
      <c r="F316" s="4">
        <v>97.39</v>
      </c>
      <c r="G316" s="9">
        <f>Table1[[#This Row],[Quantity]]*Table1[[#This Row],[Price]]</f>
        <v>973.9</v>
      </c>
    </row>
    <row r="317" spans="1:7" ht="21" customHeight="1" x14ac:dyDescent="0.3">
      <c r="A317" s="1" t="s">
        <v>202</v>
      </c>
      <c r="B317" s="1" t="str">
        <f>TEXT(Table1[[#This Row],[Date]], "YYYY-mm")</f>
        <v>2024-09</v>
      </c>
      <c r="C317" s="2" t="s">
        <v>25</v>
      </c>
      <c r="D317" s="2" t="s">
        <v>19</v>
      </c>
      <c r="E317" s="2">
        <v>15</v>
      </c>
      <c r="F317" s="2">
        <v>481.69</v>
      </c>
      <c r="G317" s="8">
        <f>Table1[[#This Row],[Quantity]]*Table1[[#This Row],[Price]]</f>
        <v>7225.35</v>
      </c>
    </row>
    <row r="318" spans="1:7" ht="21" customHeight="1" x14ac:dyDescent="0.3">
      <c r="A318" s="3" t="s">
        <v>43</v>
      </c>
      <c r="B318" s="3" t="str">
        <f>TEXT(Table1[[#This Row],[Date]], "YYYY-mm")</f>
        <v>2024-05</v>
      </c>
      <c r="C318" s="4" t="s">
        <v>25</v>
      </c>
      <c r="D318" s="4" t="s">
        <v>19</v>
      </c>
      <c r="E318" s="4">
        <v>15</v>
      </c>
      <c r="F318" s="4">
        <v>687.99</v>
      </c>
      <c r="G318" s="9">
        <f>Table1[[#This Row],[Quantity]]*Table1[[#This Row],[Price]]</f>
        <v>10319.85</v>
      </c>
    </row>
    <row r="319" spans="1:7" ht="21" customHeight="1" x14ac:dyDescent="0.3">
      <c r="A319" s="1" t="s">
        <v>228</v>
      </c>
      <c r="B319" s="1" t="str">
        <f>TEXT(Table1[[#This Row],[Date]], "YYYY-mm")</f>
        <v>2024-01</v>
      </c>
      <c r="C319" s="2" t="s">
        <v>34</v>
      </c>
      <c r="D319" s="2" t="s">
        <v>19</v>
      </c>
      <c r="E319" s="2">
        <v>6</v>
      </c>
      <c r="F319" s="2">
        <v>988.05</v>
      </c>
      <c r="G319" s="8">
        <f>Table1[[#This Row],[Quantity]]*Table1[[#This Row],[Price]]</f>
        <v>5928.2999999999993</v>
      </c>
    </row>
    <row r="320" spans="1:7" ht="21" customHeight="1" x14ac:dyDescent="0.3">
      <c r="A320" s="3" t="s">
        <v>47</v>
      </c>
      <c r="B320" s="3" t="str">
        <f>TEXT(Table1[[#This Row],[Date]], "YYYY-mm")</f>
        <v>2024-09</v>
      </c>
      <c r="C320" s="4" t="s">
        <v>12</v>
      </c>
      <c r="D320" s="4" t="s">
        <v>13</v>
      </c>
      <c r="E320" s="4">
        <v>6</v>
      </c>
      <c r="F320" s="4">
        <v>396.44</v>
      </c>
      <c r="G320" s="9">
        <f>Table1[[#This Row],[Quantity]]*Table1[[#This Row],[Price]]</f>
        <v>2378.64</v>
      </c>
    </row>
    <row r="321" spans="1:7" ht="21" customHeight="1" x14ac:dyDescent="0.3">
      <c r="A321" s="1" t="s">
        <v>170</v>
      </c>
      <c r="B321" s="1" t="str">
        <f>TEXT(Table1[[#This Row],[Date]], "YYYY-mm")</f>
        <v>2024-04</v>
      </c>
      <c r="C321" s="2" t="s">
        <v>12</v>
      </c>
      <c r="D321" s="2" t="s">
        <v>13</v>
      </c>
      <c r="E321" s="2">
        <v>1</v>
      </c>
      <c r="F321" s="2">
        <v>348.27</v>
      </c>
      <c r="G321" s="8">
        <f>Table1[[#This Row],[Quantity]]*Table1[[#This Row],[Price]]</f>
        <v>348.27</v>
      </c>
    </row>
    <row r="322" spans="1:7" ht="21" customHeight="1" x14ac:dyDescent="0.3">
      <c r="A322" s="3" t="s">
        <v>229</v>
      </c>
      <c r="B322" s="3" t="str">
        <f>TEXT(Table1[[#This Row],[Date]], "YYYY-mm")</f>
        <v>2024-05</v>
      </c>
      <c r="C322" s="4" t="s">
        <v>7</v>
      </c>
      <c r="D322" s="4" t="s">
        <v>8</v>
      </c>
      <c r="E322" s="4">
        <v>4</v>
      </c>
      <c r="F322" s="4">
        <v>54.03</v>
      </c>
      <c r="G322" s="9">
        <f>Table1[[#This Row],[Quantity]]*Table1[[#This Row],[Price]]</f>
        <v>216.12</v>
      </c>
    </row>
    <row r="323" spans="1:7" ht="21" customHeight="1" x14ac:dyDescent="0.3">
      <c r="A323" s="1" t="s">
        <v>230</v>
      </c>
      <c r="B323" s="1" t="str">
        <f>TEXT(Table1[[#This Row],[Date]], "YYYY-mm")</f>
        <v>2024-04</v>
      </c>
      <c r="C323" s="2" t="s">
        <v>25</v>
      </c>
      <c r="D323" s="2" t="s">
        <v>19</v>
      </c>
      <c r="E323" s="2">
        <v>9</v>
      </c>
      <c r="F323" s="2">
        <v>907.49</v>
      </c>
      <c r="G323" s="8">
        <f>Table1[[#This Row],[Quantity]]*Table1[[#This Row],[Price]]</f>
        <v>8167.41</v>
      </c>
    </row>
    <row r="324" spans="1:7" ht="21" customHeight="1" x14ac:dyDescent="0.3">
      <c r="A324" s="3" t="s">
        <v>231</v>
      </c>
      <c r="B324" s="3" t="str">
        <f>TEXT(Table1[[#This Row],[Date]], "YYYY-mm")</f>
        <v>2024-08</v>
      </c>
      <c r="C324" s="4" t="s">
        <v>39</v>
      </c>
      <c r="D324" s="4" t="s">
        <v>8</v>
      </c>
      <c r="E324" s="4">
        <v>12</v>
      </c>
      <c r="F324" s="4">
        <v>7.22</v>
      </c>
      <c r="G324" s="9">
        <f>Table1[[#This Row],[Quantity]]*Table1[[#This Row],[Price]]</f>
        <v>86.64</v>
      </c>
    </row>
    <row r="325" spans="1:7" ht="21" customHeight="1" x14ac:dyDescent="0.3">
      <c r="A325" s="1" t="s">
        <v>232</v>
      </c>
      <c r="B325" s="1" t="str">
        <f>TEXT(Table1[[#This Row],[Date]], "YYYY-mm")</f>
        <v>2024-10</v>
      </c>
      <c r="C325" s="2" t="s">
        <v>18</v>
      </c>
      <c r="D325" s="2" t="s">
        <v>19</v>
      </c>
      <c r="E325" s="2">
        <v>8</v>
      </c>
      <c r="F325" s="2">
        <v>503.42</v>
      </c>
      <c r="G325" s="8">
        <f>Table1[[#This Row],[Quantity]]*Table1[[#This Row],[Price]]</f>
        <v>4027.36</v>
      </c>
    </row>
    <row r="326" spans="1:7" ht="21" customHeight="1" x14ac:dyDescent="0.3">
      <c r="A326" s="3" t="s">
        <v>169</v>
      </c>
      <c r="B326" s="3" t="str">
        <f>TEXT(Table1[[#This Row],[Date]], "YYYY-mm")</f>
        <v>2024-10</v>
      </c>
      <c r="C326" s="4" t="s">
        <v>39</v>
      </c>
      <c r="D326" s="4" t="s">
        <v>8</v>
      </c>
      <c r="E326" s="4">
        <v>7</v>
      </c>
      <c r="F326" s="4">
        <v>3.35</v>
      </c>
      <c r="G326" s="9">
        <f>Table1[[#This Row],[Quantity]]*Table1[[#This Row],[Price]]</f>
        <v>23.45</v>
      </c>
    </row>
    <row r="327" spans="1:7" ht="21" customHeight="1" x14ac:dyDescent="0.3">
      <c r="A327" s="1" t="s">
        <v>91</v>
      </c>
      <c r="B327" s="1" t="str">
        <f>TEXT(Table1[[#This Row],[Date]], "YYYY-mm")</f>
        <v>2024-10</v>
      </c>
      <c r="C327" s="2" t="s">
        <v>12</v>
      </c>
      <c r="D327" s="2" t="s">
        <v>13</v>
      </c>
      <c r="E327" s="2">
        <v>13</v>
      </c>
      <c r="F327" s="2">
        <v>274.29000000000002</v>
      </c>
      <c r="G327" s="8">
        <f>Table1[[#This Row],[Quantity]]*Table1[[#This Row],[Price]]</f>
        <v>3565.7700000000004</v>
      </c>
    </row>
    <row r="328" spans="1:7" ht="21" customHeight="1" x14ac:dyDescent="0.3">
      <c r="A328" s="3" t="s">
        <v>38</v>
      </c>
      <c r="B328" s="3" t="str">
        <f>TEXT(Table1[[#This Row],[Date]], "YYYY-mm")</f>
        <v>2024-06</v>
      </c>
      <c r="C328" s="4" t="s">
        <v>44</v>
      </c>
      <c r="D328" s="4" t="s">
        <v>8</v>
      </c>
      <c r="E328" s="4">
        <v>1</v>
      </c>
      <c r="F328" s="4">
        <v>9.5299999999999994</v>
      </c>
      <c r="G328" s="9">
        <f>Table1[[#This Row],[Quantity]]*Table1[[#This Row],[Price]]</f>
        <v>9.5299999999999994</v>
      </c>
    </row>
    <row r="329" spans="1:7" ht="21" customHeight="1" x14ac:dyDescent="0.3">
      <c r="A329" s="1" t="s">
        <v>222</v>
      </c>
      <c r="B329" s="1" t="str">
        <f>TEXT(Table1[[#This Row],[Date]], "YYYY-mm")</f>
        <v>2024-06</v>
      </c>
      <c r="C329" s="2" t="s">
        <v>44</v>
      </c>
      <c r="D329" s="2" t="s">
        <v>8</v>
      </c>
      <c r="E329" s="2">
        <v>15</v>
      </c>
      <c r="F329" s="2">
        <v>6.09</v>
      </c>
      <c r="G329" s="8">
        <f>Table1[[#This Row],[Quantity]]*Table1[[#This Row],[Price]]</f>
        <v>91.35</v>
      </c>
    </row>
    <row r="330" spans="1:7" ht="21" customHeight="1" x14ac:dyDescent="0.3">
      <c r="A330" s="3" t="s">
        <v>233</v>
      </c>
      <c r="B330" s="3" t="str">
        <f>TEXT(Table1[[#This Row],[Date]], "YYYY-mm")</f>
        <v>2024-07</v>
      </c>
      <c r="C330" s="4" t="s">
        <v>27</v>
      </c>
      <c r="D330" s="4" t="s">
        <v>8</v>
      </c>
      <c r="E330" s="4">
        <v>8</v>
      </c>
      <c r="F330" s="4">
        <v>225.47</v>
      </c>
      <c r="G330" s="9">
        <f>Table1[[#This Row],[Quantity]]*Table1[[#This Row],[Price]]</f>
        <v>1803.76</v>
      </c>
    </row>
    <row r="331" spans="1:7" ht="21" customHeight="1" x14ac:dyDescent="0.3">
      <c r="A331" s="1" t="s">
        <v>125</v>
      </c>
      <c r="B331" s="1" t="str">
        <f>TEXT(Table1[[#This Row],[Date]], "YYYY-mm")</f>
        <v>2024-05</v>
      </c>
      <c r="C331" s="2" t="s">
        <v>29</v>
      </c>
      <c r="D331" s="2" t="s">
        <v>19</v>
      </c>
      <c r="E331" s="2">
        <v>4</v>
      </c>
      <c r="F331" s="2">
        <v>2041.66</v>
      </c>
      <c r="G331" s="8">
        <f>Table1[[#This Row],[Quantity]]*Table1[[#This Row],[Price]]</f>
        <v>8166.64</v>
      </c>
    </row>
    <row r="332" spans="1:7" ht="21" customHeight="1" x14ac:dyDescent="0.3">
      <c r="A332" s="3" t="s">
        <v>234</v>
      </c>
      <c r="B332" s="3" t="str">
        <f>TEXT(Table1[[#This Row],[Date]], "YYYY-mm")</f>
        <v>2024-03</v>
      </c>
      <c r="C332" s="4" t="s">
        <v>29</v>
      </c>
      <c r="D332" s="4" t="s">
        <v>19</v>
      </c>
      <c r="E332" s="4">
        <v>3</v>
      </c>
      <c r="F332" s="4">
        <v>2102.27</v>
      </c>
      <c r="G332" s="9">
        <f>Table1[[#This Row],[Quantity]]*Table1[[#This Row],[Price]]</f>
        <v>6306.8099999999995</v>
      </c>
    </row>
    <row r="333" spans="1:7" ht="21" customHeight="1" x14ac:dyDescent="0.3">
      <c r="A333" s="1" t="s">
        <v>235</v>
      </c>
      <c r="B333" s="1" t="str">
        <f>TEXT(Table1[[#This Row],[Date]], "YYYY-mm")</f>
        <v>2024-09</v>
      </c>
      <c r="C333" s="2" t="s">
        <v>12</v>
      </c>
      <c r="D333" s="2" t="s">
        <v>13</v>
      </c>
      <c r="E333" s="2">
        <v>13</v>
      </c>
      <c r="F333" s="2">
        <v>460.72</v>
      </c>
      <c r="G333" s="8">
        <f>Table1[[#This Row],[Quantity]]*Table1[[#This Row],[Price]]</f>
        <v>5989.3600000000006</v>
      </c>
    </row>
    <row r="334" spans="1:7" ht="21" customHeight="1" x14ac:dyDescent="0.3">
      <c r="A334" s="3" t="s">
        <v>197</v>
      </c>
      <c r="B334" s="3" t="str">
        <f>TEXT(Table1[[#This Row],[Date]], "YYYY-mm")</f>
        <v>2024-10</v>
      </c>
      <c r="C334" s="4" t="s">
        <v>12</v>
      </c>
      <c r="D334" s="4" t="s">
        <v>13</v>
      </c>
      <c r="E334" s="4">
        <v>4</v>
      </c>
      <c r="F334" s="4">
        <v>237.22</v>
      </c>
      <c r="G334" s="9">
        <f>Table1[[#This Row],[Quantity]]*Table1[[#This Row],[Price]]</f>
        <v>948.88</v>
      </c>
    </row>
    <row r="335" spans="1:7" ht="21" customHeight="1" x14ac:dyDescent="0.3">
      <c r="A335" s="1" t="s">
        <v>236</v>
      </c>
      <c r="B335" s="1" t="str">
        <f>TEXT(Table1[[#This Row],[Date]], "YYYY-mm")</f>
        <v>2024-09</v>
      </c>
      <c r="C335" s="2" t="s">
        <v>39</v>
      </c>
      <c r="D335" s="2" t="s">
        <v>8</v>
      </c>
      <c r="E335" s="2">
        <v>5</v>
      </c>
      <c r="F335" s="2">
        <v>6.83</v>
      </c>
      <c r="G335" s="8">
        <f>Table1[[#This Row],[Quantity]]*Table1[[#This Row],[Price]]</f>
        <v>34.15</v>
      </c>
    </row>
    <row r="336" spans="1:7" ht="21" customHeight="1" x14ac:dyDescent="0.3">
      <c r="A336" s="3" t="s">
        <v>237</v>
      </c>
      <c r="B336" s="3" t="str">
        <f>TEXT(Table1[[#This Row],[Date]], "YYYY-mm")</f>
        <v>2024-01</v>
      </c>
      <c r="C336" s="4" t="s">
        <v>10</v>
      </c>
      <c r="D336" s="4" t="s">
        <v>8</v>
      </c>
      <c r="E336" s="4">
        <v>11</v>
      </c>
      <c r="F336" s="4">
        <v>117.11</v>
      </c>
      <c r="G336" s="9">
        <f>Table1[[#This Row],[Quantity]]*Table1[[#This Row],[Price]]</f>
        <v>1288.21</v>
      </c>
    </row>
    <row r="337" spans="1:7" ht="21" customHeight="1" x14ac:dyDescent="0.3">
      <c r="A337" s="1" t="s">
        <v>238</v>
      </c>
      <c r="B337" s="1" t="str">
        <f>TEXT(Table1[[#This Row],[Date]], "YYYY-mm")</f>
        <v>2024-07</v>
      </c>
      <c r="C337" s="2" t="s">
        <v>18</v>
      </c>
      <c r="D337" s="2" t="s">
        <v>19</v>
      </c>
      <c r="E337" s="2">
        <v>11</v>
      </c>
      <c r="F337" s="2">
        <v>873.51</v>
      </c>
      <c r="G337" s="8">
        <f>Table1[[#This Row],[Quantity]]*Table1[[#This Row],[Price]]</f>
        <v>9608.61</v>
      </c>
    </row>
    <row r="338" spans="1:7" ht="21" customHeight="1" x14ac:dyDescent="0.3">
      <c r="A338" s="3" t="s">
        <v>196</v>
      </c>
      <c r="B338" s="3" t="str">
        <f>TEXT(Table1[[#This Row],[Date]], "YYYY-mm")</f>
        <v>2024-10</v>
      </c>
      <c r="C338" s="4" t="s">
        <v>25</v>
      </c>
      <c r="D338" s="4" t="s">
        <v>19</v>
      </c>
      <c r="E338" s="4">
        <v>7</v>
      </c>
      <c r="F338" s="4">
        <v>211.4</v>
      </c>
      <c r="G338" s="9">
        <f>Table1[[#This Row],[Quantity]]*Table1[[#This Row],[Price]]</f>
        <v>1479.8</v>
      </c>
    </row>
    <row r="339" spans="1:7" ht="21" customHeight="1" x14ac:dyDescent="0.3">
      <c r="A339" s="1" t="s">
        <v>176</v>
      </c>
      <c r="B339" s="1" t="str">
        <f>TEXT(Table1[[#This Row],[Date]], "YYYY-mm")</f>
        <v>2024-03</v>
      </c>
      <c r="C339" s="2" t="s">
        <v>27</v>
      </c>
      <c r="D339" s="2" t="s">
        <v>8</v>
      </c>
      <c r="E339" s="2">
        <v>8</v>
      </c>
      <c r="F339" s="2">
        <v>138.65</v>
      </c>
      <c r="G339" s="8">
        <f>Table1[[#This Row],[Quantity]]*Table1[[#This Row],[Price]]</f>
        <v>1109.2</v>
      </c>
    </row>
    <row r="340" spans="1:7" ht="21" customHeight="1" x14ac:dyDescent="0.3">
      <c r="A340" s="3" t="s">
        <v>28</v>
      </c>
      <c r="B340" s="3" t="str">
        <f>TEXT(Table1[[#This Row],[Date]], "YYYY-mm")</f>
        <v>2024-02</v>
      </c>
      <c r="C340" s="4" t="s">
        <v>27</v>
      </c>
      <c r="D340" s="4" t="s">
        <v>8</v>
      </c>
      <c r="E340" s="4">
        <v>8</v>
      </c>
      <c r="F340" s="4">
        <v>227.98</v>
      </c>
      <c r="G340" s="9">
        <f>Table1[[#This Row],[Quantity]]*Table1[[#This Row],[Price]]</f>
        <v>1823.84</v>
      </c>
    </row>
    <row r="341" spans="1:7" ht="21" customHeight="1" x14ac:dyDescent="0.3">
      <c r="A341" s="1" t="s">
        <v>166</v>
      </c>
      <c r="B341" s="1" t="str">
        <f>TEXT(Table1[[#This Row],[Date]], "YYYY-mm")</f>
        <v>2024-12</v>
      </c>
      <c r="C341" s="2" t="s">
        <v>27</v>
      </c>
      <c r="D341" s="2" t="s">
        <v>8</v>
      </c>
      <c r="E341" s="2">
        <v>5</v>
      </c>
      <c r="F341" s="2">
        <v>187.06</v>
      </c>
      <c r="G341" s="8">
        <f>Table1[[#This Row],[Quantity]]*Table1[[#This Row],[Price]]</f>
        <v>935.3</v>
      </c>
    </row>
    <row r="342" spans="1:7" ht="21" customHeight="1" x14ac:dyDescent="0.3">
      <c r="A342" s="3" t="s">
        <v>196</v>
      </c>
      <c r="B342" s="3" t="str">
        <f>TEXT(Table1[[#This Row],[Date]], "YYYY-mm")</f>
        <v>2024-10</v>
      </c>
      <c r="C342" s="4" t="s">
        <v>39</v>
      </c>
      <c r="D342" s="4" t="s">
        <v>8</v>
      </c>
      <c r="E342" s="4">
        <v>1</v>
      </c>
      <c r="F342" s="4">
        <v>5.94</v>
      </c>
      <c r="G342" s="9">
        <f>Table1[[#This Row],[Quantity]]*Table1[[#This Row],[Price]]</f>
        <v>5.94</v>
      </c>
    </row>
    <row r="343" spans="1:7" ht="21" customHeight="1" x14ac:dyDescent="0.3">
      <c r="A343" s="1" t="s">
        <v>122</v>
      </c>
      <c r="B343" s="1" t="str">
        <f>TEXT(Table1[[#This Row],[Date]], "YYYY-mm")</f>
        <v>2024-08</v>
      </c>
      <c r="C343" s="2" t="s">
        <v>25</v>
      </c>
      <c r="D343" s="2" t="s">
        <v>19</v>
      </c>
      <c r="E343" s="2">
        <v>11</v>
      </c>
      <c r="F343" s="2">
        <v>376.88</v>
      </c>
      <c r="G343" s="8">
        <f>Table1[[#This Row],[Quantity]]*Table1[[#This Row],[Price]]</f>
        <v>4145.68</v>
      </c>
    </row>
    <row r="344" spans="1:7" ht="21" customHeight="1" x14ac:dyDescent="0.3">
      <c r="A344" s="3" t="s">
        <v>202</v>
      </c>
      <c r="B344" s="3" t="str">
        <f>TEXT(Table1[[#This Row],[Date]], "YYYY-mm")</f>
        <v>2024-09</v>
      </c>
      <c r="C344" s="4" t="s">
        <v>7</v>
      </c>
      <c r="D344" s="4" t="s">
        <v>8</v>
      </c>
      <c r="E344" s="4">
        <v>8</v>
      </c>
      <c r="F344" s="4">
        <v>48.17</v>
      </c>
      <c r="G344" s="9">
        <f>Table1[[#This Row],[Quantity]]*Table1[[#This Row],[Price]]</f>
        <v>385.36</v>
      </c>
    </row>
    <row r="345" spans="1:7" ht="21" customHeight="1" x14ac:dyDescent="0.3">
      <c r="A345" s="1" t="s">
        <v>239</v>
      </c>
      <c r="B345" s="1" t="str">
        <f>TEXT(Table1[[#This Row],[Date]], "YYYY-mm")</f>
        <v>2024-12</v>
      </c>
      <c r="C345" s="2" t="s">
        <v>10</v>
      </c>
      <c r="D345" s="2" t="s">
        <v>8</v>
      </c>
      <c r="E345" s="2">
        <v>4</v>
      </c>
      <c r="F345" s="2">
        <v>70.12</v>
      </c>
      <c r="G345" s="8">
        <f>Table1[[#This Row],[Quantity]]*Table1[[#This Row],[Price]]</f>
        <v>280.48</v>
      </c>
    </row>
    <row r="346" spans="1:7" ht="21" customHeight="1" x14ac:dyDescent="0.3">
      <c r="A346" s="3" t="s">
        <v>86</v>
      </c>
      <c r="B346" s="3" t="str">
        <f>TEXT(Table1[[#This Row],[Date]], "YYYY-mm")</f>
        <v>2024-12</v>
      </c>
      <c r="C346" s="4" t="s">
        <v>7</v>
      </c>
      <c r="D346" s="4" t="s">
        <v>8</v>
      </c>
      <c r="E346" s="4">
        <v>3</v>
      </c>
      <c r="F346" s="4">
        <v>23.7</v>
      </c>
      <c r="G346" s="9">
        <f>Table1[[#This Row],[Quantity]]*Table1[[#This Row],[Price]]</f>
        <v>71.099999999999994</v>
      </c>
    </row>
    <row r="347" spans="1:7" ht="21" customHeight="1" x14ac:dyDescent="0.3">
      <c r="A347" s="1" t="s">
        <v>17</v>
      </c>
      <c r="B347" s="1" t="str">
        <f>TEXT(Table1[[#This Row],[Date]], "YYYY-mm")</f>
        <v>2024-10</v>
      </c>
      <c r="C347" s="2" t="s">
        <v>22</v>
      </c>
      <c r="D347" s="2" t="s">
        <v>13</v>
      </c>
      <c r="E347" s="2">
        <v>14</v>
      </c>
      <c r="F347" s="2">
        <v>1256.8699999999999</v>
      </c>
      <c r="G347" s="8">
        <f>Table1[[#This Row],[Quantity]]*Table1[[#This Row],[Price]]</f>
        <v>17596.18</v>
      </c>
    </row>
    <row r="348" spans="1:7" ht="21" customHeight="1" x14ac:dyDescent="0.3">
      <c r="A348" s="3" t="s">
        <v>159</v>
      </c>
      <c r="B348" s="3" t="str">
        <f>TEXT(Table1[[#This Row],[Date]], "YYYY-mm")</f>
        <v>2024-10</v>
      </c>
      <c r="C348" s="4" t="s">
        <v>29</v>
      </c>
      <c r="D348" s="4" t="s">
        <v>19</v>
      </c>
      <c r="E348" s="4">
        <v>9</v>
      </c>
      <c r="F348" s="4">
        <v>794.04</v>
      </c>
      <c r="G348" s="9">
        <f>Table1[[#This Row],[Quantity]]*Table1[[#This Row],[Price]]</f>
        <v>7146.36</v>
      </c>
    </row>
    <row r="349" spans="1:7" ht="21" customHeight="1" x14ac:dyDescent="0.3">
      <c r="A349" s="1" t="s">
        <v>240</v>
      </c>
      <c r="B349" s="1" t="str">
        <f>TEXT(Table1[[#This Row],[Date]], "YYYY-mm")</f>
        <v>2024-08</v>
      </c>
      <c r="C349" s="2" t="s">
        <v>29</v>
      </c>
      <c r="D349" s="2" t="s">
        <v>19</v>
      </c>
      <c r="E349" s="2">
        <v>1</v>
      </c>
      <c r="F349" s="2">
        <v>1800.7</v>
      </c>
      <c r="G349" s="8">
        <f>Table1[[#This Row],[Quantity]]*Table1[[#This Row],[Price]]</f>
        <v>1800.7</v>
      </c>
    </row>
    <row r="350" spans="1:7" ht="21" customHeight="1" x14ac:dyDescent="0.3">
      <c r="A350" s="3" t="s">
        <v>241</v>
      </c>
      <c r="B350" s="3" t="str">
        <f>TEXT(Table1[[#This Row],[Date]], "YYYY-mm")</f>
        <v>2024-05</v>
      </c>
      <c r="C350" s="4" t="s">
        <v>39</v>
      </c>
      <c r="D350" s="4" t="s">
        <v>8</v>
      </c>
      <c r="E350" s="4">
        <v>15</v>
      </c>
      <c r="F350" s="4">
        <v>6.88</v>
      </c>
      <c r="G350" s="9">
        <f>Table1[[#This Row],[Quantity]]*Table1[[#This Row],[Price]]</f>
        <v>103.2</v>
      </c>
    </row>
    <row r="351" spans="1:7" ht="21" customHeight="1" x14ac:dyDescent="0.3">
      <c r="A351" s="1" t="s">
        <v>214</v>
      </c>
      <c r="B351" s="1" t="str">
        <f>TEXT(Table1[[#This Row],[Date]], "YYYY-mm")</f>
        <v>2024-01</v>
      </c>
      <c r="C351" s="2" t="s">
        <v>22</v>
      </c>
      <c r="D351" s="2" t="s">
        <v>13</v>
      </c>
      <c r="E351" s="2">
        <v>10</v>
      </c>
      <c r="F351" s="2">
        <v>1815.44</v>
      </c>
      <c r="G351" s="8">
        <f>Table1[[#This Row],[Quantity]]*Table1[[#This Row],[Price]]</f>
        <v>18154.400000000001</v>
      </c>
    </row>
    <row r="352" spans="1:7" ht="21" customHeight="1" x14ac:dyDescent="0.3">
      <c r="A352" s="3" t="s">
        <v>242</v>
      </c>
      <c r="B352" s="3" t="str">
        <f>TEXT(Table1[[#This Row],[Date]], "YYYY-mm")</f>
        <v>2024-03</v>
      </c>
      <c r="C352" s="4" t="s">
        <v>44</v>
      </c>
      <c r="D352" s="4" t="s">
        <v>8</v>
      </c>
      <c r="E352" s="4">
        <v>13</v>
      </c>
      <c r="F352" s="4">
        <v>14.53</v>
      </c>
      <c r="G352" s="9">
        <f>Table1[[#This Row],[Quantity]]*Table1[[#This Row],[Price]]</f>
        <v>188.89</v>
      </c>
    </row>
    <row r="353" spans="1:7" ht="21" customHeight="1" x14ac:dyDescent="0.3">
      <c r="A353" s="1" t="s">
        <v>140</v>
      </c>
      <c r="B353" s="1" t="str">
        <f>TEXT(Table1[[#This Row],[Date]], "YYYY-mm")</f>
        <v>2024-01</v>
      </c>
      <c r="C353" s="2" t="s">
        <v>15</v>
      </c>
      <c r="D353" s="2" t="s">
        <v>8</v>
      </c>
      <c r="E353" s="2">
        <v>13</v>
      </c>
      <c r="F353" s="2">
        <v>7.04</v>
      </c>
      <c r="G353" s="8">
        <f>Table1[[#This Row],[Quantity]]*Table1[[#This Row],[Price]]</f>
        <v>91.52</v>
      </c>
    </row>
    <row r="354" spans="1:7" ht="21" customHeight="1" x14ac:dyDescent="0.3">
      <c r="A354" s="3" t="s">
        <v>214</v>
      </c>
      <c r="B354" s="3" t="str">
        <f>TEXT(Table1[[#This Row],[Date]], "YYYY-mm")</f>
        <v>2024-01</v>
      </c>
      <c r="C354" s="4" t="s">
        <v>39</v>
      </c>
      <c r="D354" s="4" t="s">
        <v>8</v>
      </c>
      <c r="E354" s="4">
        <v>6</v>
      </c>
      <c r="F354" s="4">
        <v>5.86</v>
      </c>
      <c r="G354" s="9">
        <f>Table1[[#This Row],[Quantity]]*Table1[[#This Row],[Price]]</f>
        <v>35.160000000000004</v>
      </c>
    </row>
    <row r="355" spans="1:7" ht="21" customHeight="1" x14ac:dyDescent="0.3">
      <c r="A355" s="1" t="s">
        <v>243</v>
      </c>
      <c r="B355" s="1" t="str">
        <f>TEXT(Table1[[#This Row],[Date]], "YYYY-mm")</f>
        <v>2024-03</v>
      </c>
      <c r="C355" s="2" t="s">
        <v>34</v>
      </c>
      <c r="D355" s="2" t="s">
        <v>19</v>
      </c>
      <c r="E355" s="2">
        <v>15</v>
      </c>
      <c r="F355" s="2">
        <v>1339.21</v>
      </c>
      <c r="G355" s="8">
        <f>Table1[[#This Row],[Quantity]]*Table1[[#This Row],[Price]]</f>
        <v>20088.150000000001</v>
      </c>
    </row>
    <row r="356" spans="1:7" ht="21" customHeight="1" x14ac:dyDescent="0.3">
      <c r="A356" s="3" t="s">
        <v>244</v>
      </c>
      <c r="B356" s="3" t="str">
        <f>TEXT(Table1[[#This Row],[Date]], "YYYY-mm")</f>
        <v>2024-05</v>
      </c>
      <c r="C356" s="4" t="s">
        <v>12</v>
      </c>
      <c r="D356" s="4" t="s">
        <v>13</v>
      </c>
      <c r="E356" s="4">
        <v>14</v>
      </c>
      <c r="F356" s="4">
        <v>502.8</v>
      </c>
      <c r="G356" s="9">
        <f>Table1[[#This Row],[Quantity]]*Table1[[#This Row],[Price]]</f>
        <v>7039.2</v>
      </c>
    </row>
    <row r="357" spans="1:7" ht="21" customHeight="1" x14ac:dyDescent="0.3">
      <c r="A357" s="1" t="s">
        <v>245</v>
      </c>
      <c r="B357" s="1" t="str">
        <f>TEXT(Table1[[#This Row],[Date]], "YYYY-mm")</f>
        <v>2024-03</v>
      </c>
      <c r="C357" s="2" t="s">
        <v>34</v>
      </c>
      <c r="D357" s="2" t="s">
        <v>19</v>
      </c>
      <c r="E357" s="2">
        <v>1</v>
      </c>
      <c r="F357" s="2">
        <v>1601.07</v>
      </c>
      <c r="G357" s="8">
        <f>Table1[[#This Row],[Quantity]]*Table1[[#This Row],[Price]]</f>
        <v>1601.07</v>
      </c>
    </row>
    <row r="358" spans="1:7" ht="21" customHeight="1" x14ac:dyDescent="0.3">
      <c r="A358" s="3" t="s">
        <v>246</v>
      </c>
      <c r="B358" s="3" t="str">
        <f>TEXT(Table1[[#This Row],[Date]], "YYYY-mm")</f>
        <v>2024-10</v>
      </c>
      <c r="C358" s="4" t="s">
        <v>44</v>
      </c>
      <c r="D358" s="4" t="s">
        <v>8</v>
      </c>
      <c r="E358" s="4">
        <v>9</v>
      </c>
      <c r="F358" s="4">
        <v>6.77</v>
      </c>
      <c r="G358" s="9">
        <f>Table1[[#This Row],[Quantity]]*Table1[[#This Row],[Price]]</f>
        <v>60.929999999999993</v>
      </c>
    </row>
    <row r="359" spans="1:7" ht="21" customHeight="1" x14ac:dyDescent="0.3">
      <c r="A359" s="1" t="s">
        <v>148</v>
      </c>
      <c r="B359" s="1" t="str">
        <f>TEXT(Table1[[#This Row],[Date]], "YYYY-mm")</f>
        <v>2024-01</v>
      </c>
      <c r="C359" s="2" t="s">
        <v>39</v>
      </c>
      <c r="D359" s="2" t="s">
        <v>8</v>
      </c>
      <c r="E359" s="2">
        <v>8</v>
      </c>
      <c r="F359" s="2">
        <v>4.38</v>
      </c>
      <c r="G359" s="8">
        <f>Table1[[#This Row],[Quantity]]*Table1[[#This Row],[Price]]</f>
        <v>35.04</v>
      </c>
    </row>
    <row r="360" spans="1:7" ht="21" customHeight="1" x14ac:dyDescent="0.3">
      <c r="A360" s="3" t="s">
        <v>247</v>
      </c>
      <c r="B360" s="3" t="str">
        <f>TEXT(Table1[[#This Row],[Date]], "YYYY-mm")</f>
        <v>2024-03</v>
      </c>
      <c r="C360" s="4" t="s">
        <v>7</v>
      </c>
      <c r="D360" s="4" t="s">
        <v>8</v>
      </c>
      <c r="E360" s="4">
        <v>5</v>
      </c>
      <c r="F360" s="4">
        <v>30.39</v>
      </c>
      <c r="G360" s="9">
        <f>Table1[[#This Row],[Quantity]]*Table1[[#This Row],[Price]]</f>
        <v>151.94999999999999</v>
      </c>
    </row>
    <row r="361" spans="1:7" ht="21" customHeight="1" x14ac:dyDescent="0.3">
      <c r="A361" s="1" t="s">
        <v>156</v>
      </c>
      <c r="B361" s="1" t="str">
        <f>TEXT(Table1[[#This Row],[Date]], "YYYY-mm")</f>
        <v>2024-08</v>
      </c>
      <c r="C361" s="2" t="s">
        <v>29</v>
      </c>
      <c r="D361" s="2" t="s">
        <v>19</v>
      </c>
      <c r="E361" s="2">
        <v>14</v>
      </c>
      <c r="F361" s="2">
        <v>1052.01</v>
      </c>
      <c r="G361" s="8">
        <f>Table1[[#This Row],[Quantity]]*Table1[[#This Row],[Price]]</f>
        <v>14728.14</v>
      </c>
    </row>
    <row r="362" spans="1:7" ht="21" customHeight="1" x14ac:dyDescent="0.3">
      <c r="A362" s="3" t="s">
        <v>248</v>
      </c>
      <c r="B362" s="3" t="str">
        <f>TEXT(Table1[[#This Row],[Date]], "YYYY-mm")</f>
        <v>2024-01</v>
      </c>
      <c r="C362" s="4" t="s">
        <v>29</v>
      </c>
      <c r="D362" s="4" t="s">
        <v>19</v>
      </c>
      <c r="E362" s="4">
        <v>13</v>
      </c>
      <c r="F362" s="4">
        <v>1240.54</v>
      </c>
      <c r="G362" s="9">
        <f>Table1[[#This Row],[Quantity]]*Table1[[#This Row],[Price]]</f>
        <v>16127.02</v>
      </c>
    </row>
    <row r="363" spans="1:7" ht="21" customHeight="1" x14ac:dyDescent="0.3">
      <c r="A363" s="1" t="s">
        <v>188</v>
      </c>
      <c r="B363" s="1" t="str">
        <f>TEXT(Table1[[#This Row],[Date]], "YYYY-mm")</f>
        <v>2024-09</v>
      </c>
      <c r="C363" s="2" t="s">
        <v>12</v>
      </c>
      <c r="D363" s="2" t="s">
        <v>13</v>
      </c>
      <c r="E363" s="2">
        <v>7</v>
      </c>
      <c r="F363" s="2">
        <v>154.41</v>
      </c>
      <c r="G363" s="8">
        <f>Table1[[#This Row],[Quantity]]*Table1[[#This Row],[Price]]</f>
        <v>1080.8699999999999</v>
      </c>
    </row>
    <row r="364" spans="1:7" ht="21" customHeight="1" x14ac:dyDescent="0.3">
      <c r="A364" s="3" t="s">
        <v>118</v>
      </c>
      <c r="B364" s="3" t="str">
        <f>TEXT(Table1[[#This Row],[Date]], "YYYY-mm")</f>
        <v>2024-06</v>
      </c>
      <c r="C364" s="4" t="s">
        <v>27</v>
      </c>
      <c r="D364" s="4" t="s">
        <v>8</v>
      </c>
      <c r="E364" s="4">
        <v>2</v>
      </c>
      <c r="F364" s="4">
        <v>118.71</v>
      </c>
      <c r="G364" s="9">
        <f>Table1[[#This Row],[Quantity]]*Table1[[#This Row],[Price]]</f>
        <v>237.42</v>
      </c>
    </row>
    <row r="365" spans="1:7" ht="21" customHeight="1" x14ac:dyDescent="0.3">
      <c r="A365" s="1" t="s">
        <v>249</v>
      </c>
      <c r="B365" s="1" t="str">
        <f>TEXT(Table1[[#This Row],[Date]], "YYYY-mm")</f>
        <v>2024-03</v>
      </c>
      <c r="C365" s="2" t="s">
        <v>27</v>
      </c>
      <c r="D365" s="2" t="s">
        <v>8</v>
      </c>
      <c r="E365" s="2">
        <v>7</v>
      </c>
      <c r="F365" s="2">
        <v>93.04</v>
      </c>
      <c r="G365" s="8">
        <f>Table1[[#This Row],[Quantity]]*Table1[[#This Row],[Price]]</f>
        <v>651.28000000000009</v>
      </c>
    </row>
    <row r="366" spans="1:7" ht="21" customHeight="1" x14ac:dyDescent="0.3">
      <c r="A366" s="3" t="s">
        <v>250</v>
      </c>
      <c r="B366" s="3" t="str">
        <f>TEXT(Table1[[#This Row],[Date]], "YYYY-mm")</f>
        <v>2024-10</v>
      </c>
      <c r="C366" s="4" t="s">
        <v>15</v>
      </c>
      <c r="D366" s="4" t="s">
        <v>8</v>
      </c>
      <c r="E366" s="4">
        <v>13</v>
      </c>
      <c r="F366" s="4">
        <v>7.95</v>
      </c>
      <c r="G366" s="9">
        <f>Table1[[#This Row],[Quantity]]*Table1[[#This Row],[Price]]</f>
        <v>103.35000000000001</v>
      </c>
    </row>
    <row r="367" spans="1:7" ht="21" customHeight="1" x14ac:dyDescent="0.3">
      <c r="A367" s="1" t="s">
        <v>127</v>
      </c>
      <c r="B367" s="1" t="str">
        <f>TEXT(Table1[[#This Row],[Date]], "YYYY-mm")</f>
        <v>2024-03</v>
      </c>
      <c r="C367" s="2" t="s">
        <v>12</v>
      </c>
      <c r="D367" s="2" t="s">
        <v>13</v>
      </c>
      <c r="E367" s="2">
        <v>11</v>
      </c>
      <c r="F367" s="2">
        <v>174.04</v>
      </c>
      <c r="G367" s="8">
        <f>Table1[[#This Row],[Quantity]]*Table1[[#This Row],[Price]]</f>
        <v>1914.4399999999998</v>
      </c>
    </row>
    <row r="368" spans="1:7" ht="21" customHeight="1" x14ac:dyDescent="0.3">
      <c r="A368" s="3" t="s">
        <v>49</v>
      </c>
      <c r="B368" s="3" t="str">
        <f>TEXT(Table1[[#This Row],[Date]], "YYYY-mm")</f>
        <v>2024-01</v>
      </c>
      <c r="C368" s="4" t="s">
        <v>27</v>
      </c>
      <c r="D368" s="4" t="s">
        <v>8</v>
      </c>
      <c r="E368" s="4">
        <v>1</v>
      </c>
      <c r="F368" s="4">
        <v>134.97999999999999</v>
      </c>
      <c r="G368" s="9">
        <f>Table1[[#This Row],[Quantity]]*Table1[[#This Row],[Price]]</f>
        <v>134.97999999999999</v>
      </c>
    </row>
    <row r="369" spans="1:7" ht="21" customHeight="1" x14ac:dyDescent="0.3">
      <c r="A369" s="1" t="s">
        <v>251</v>
      </c>
      <c r="B369" s="1" t="str">
        <f>TEXT(Table1[[#This Row],[Date]], "YYYY-mm")</f>
        <v>2024-01</v>
      </c>
      <c r="C369" s="2" t="s">
        <v>44</v>
      </c>
      <c r="D369" s="2" t="s">
        <v>8</v>
      </c>
      <c r="E369" s="2">
        <v>6</v>
      </c>
      <c r="F369" s="2">
        <v>17.43</v>
      </c>
      <c r="G369" s="8">
        <f>Table1[[#This Row],[Quantity]]*Table1[[#This Row],[Price]]</f>
        <v>104.58</v>
      </c>
    </row>
    <row r="370" spans="1:7" ht="21" customHeight="1" x14ac:dyDescent="0.3">
      <c r="A370" s="3" t="s">
        <v>37</v>
      </c>
      <c r="B370" s="3" t="str">
        <f>TEXT(Table1[[#This Row],[Date]], "YYYY-mm")</f>
        <v>2024-04</v>
      </c>
      <c r="C370" s="4" t="s">
        <v>7</v>
      </c>
      <c r="D370" s="4" t="s">
        <v>8</v>
      </c>
      <c r="E370" s="4">
        <v>11</v>
      </c>
      <c r="F370" s="4">
        <v>44.52</v>
      </c>
      <c r="G370" s="9">
        <f>Table1[[#This Row],[Quantity]]*Table1[[#This Row],[Price]]</f>
        <v>489.72</v>
      </c>
    </row>
    <row r="371" spans="1:7" ht="21" customHeight="1" x14ac:dyDescent="0.3">
      <c r="A371" s="1" t="s">
        <v>229</v>
      </c>
      <c r="B371" s="1" t="str">
        <f>TEXT(Table1[[#This Row],[Date]], "YYYY-mm")</f>
        <v>2024-05</v>
      </c>
      <c r="C371" s="2" t="s">
        <v>10</v>
      </c>
      <c r="D371" s="2" t="s">
        <v>8</v>
      </c>
      <c r="E371" s="2">
        <v>14</v>
      </c>
      <c r="F371" s="2">
        <v>70.87</v>
      </c>
      <c r="G371" s="8">
        <f>Table1[[#This Row],[Quantity]]*Table1[[#This Row],[Price]]</f>
        <v>992.18000000000006</v>
      </c>
    </row>
    <row r="372" spans="1:7" ht="21" customHeight="1" x14ac:dyDescent="0.3">
      <c r="A372" s="3" t="s">
        <v>252</v>
      </c>
      <c r="B372" s="3" t="str">
        <f>TEXT(Table1[[#This Row],[Date]], "YYYY-mm")</f>
        <v>2024-05</v>
      </c>
      <c r="C372" s="4" t="s">
        <v>27</v>
      </c>
      <c r="D372" s="4" t="s">
        <v>8</v>
      </c>
      <c r="E372" s="4">
        <v>12</v>
      </c>
      <c r="F372" s="4">
        <v>119.97</v>
      </c>
      <c r="G372" s="9">
        <f>Table1[[#This Row],[Quantity]]*Table1[[#This Row],[Price]]</f>
        <v>1439.6399999999999</v>
      </c>
    </row>
    <row r="373" spans="1:7" ht="21" customHeight="1" x14ac:dyDescent="0.3">
      <c r="A373" s="1" t="s">
        <v>225</v>
      </c>
      <c r="B373" s="1" t="str">
        <f>TEXT(Table1[[#This Row],[Date]], "YYYY-mm")</f>
        <v>2024-10</v>
      </c>
      <c r="C373" s="2" t="s">
        <v>15</v>
      </c>
      <c r="D373" s="2" t="s">
        <v>8</v>
      </c>
      <c r="E373" s="2">
        <v>11</v>
      </c>
      <c r="F373" s="2">
        <v>5.95</v>
      </c>
      <c r="G373" s="8">
        <f>Table1[[#This Row],[Quantity]]*Table1[[#This Row],[Price]]</f>
        <v>65.45</v>
      </c>
    </row>
    <row r="374" spans="1:7" ht="21" customHeight="1" x14ac:dyDescent="0.3">
      <c r="A374" s="3" t="s">
        <v>236</v>
      </c>
      <c r="B374" s="3" t="str">
        <f>TEXT(Table1[[#This Row],[Date]], "YYYY-mm")</f>
        <v>2024-09</v>
      </c>
      <c r="C374" s="4" t="s">
        <v>44</v>
      </c>
      <c r="D374" s="4" t="s">
        <v>8</v>
      </c>
      <c r="E374" s="4">
        <v>10</v>
      </c>
      <c r="F374" s="4">
        <v>8.73</v>
      </c>
      <c r="G374" s="9">
        <f>Table1[[#This Row],[Quantity]]*Table1[[#This Row],[Price]]</f>
        <v>87.300000000000011</v>
      </c>
    </row>
    <row r="375" spans="1:7" ht="21" customHeight="1" x14ac:dyDescent="0.3">
      <c r="A375" s="1" t="s">
        <v>165</v>
      </c>
      <c r="B375" s="1" t="str">
        <f>TEXT(Table1[[#This Row],[Date]], "YYYY-mm")</f>
        <v>2024-12</v>
      </c>
      <c r="C375" s="2" t="s">
        <v>7</v>
      </c>
      <c r="D375" s="2" t="s">
        <v>8</v>
      </c>
      <c r="E375" s="2">
        <v>15</v>
      </c>
      <c r="F375" s="2">
        <v>51.68</v>
      </c>
      <c r="G375" s="8">
        <f>Table1[[#This Row],[Quantity]]*Table1[[#This Row],[Price]]</f>
        <v>775.2</v>
      </c>
    </row>
    <row r="376" spans="1:7" ht="21" customHeight="1" x14ac:dyDescent="0.3">
      <c r="A376" s="3" t="s">
        <v>212</v>
      </c>
      <c r="B376" s="3" t="str">
        <f>TEXT(Table1[[#This Row],[Date]], "YYYY-mm")</f>
        <v>2024-06</v>
      </c>
      <c r="C376" s="4" t="s">
        <v>12</v>
      </c>
      <c r="D376" s="4" t="s">
        <v>13</v>
      </c>
      <c r="E376" s="4">
        <v>10</v>
      </c>
      <c r="F376" s="4">
        <v>395.89</v>
      </c>
      <c r="G376" s="9">
        <f>Table1[[#This Row],[Quantity]]*Table1[[#This Row],[Price]]</f>
        <v>3958.8999999999996</v>
      </c>
    </row>
    <row r="377" spans="1:7" ht="21" customHeight="1" x14ac:dyDescent="0.3">
      <c r="A377" s="1" t="s">
        <v>156</v>
      </c>
      <c r="B377" s="1" t="str">
        <f>TEXT(Table1[[#This Row],[Date]], "YYYY-mm")</f>
        <v>2024-08</v>
      </c>
      <c r="C377" s="2" t="s">
        <v>29</v>
      </c>
      <c r="D377" s="2" t="s">
        <v>19</v>
      </c>
      <c r="E377" s="2">
        <v>14</v>
      </c>
      <c r="F377" s="2">
        <v>1356.26</v>
      </c>
      <c r="G377" s="8">
        <f>Table1[[#This Row],[Quantity]]*Table1[[#This Row],[Price]]</f>
        <v>18987.64</v>
      </c>
    </row>
    <row r="378" spans="1:7" ht="21" customHeight="1" x14ac:dyDescent="0.3">
      <c r="A378" s="3" t="s">
        <v>208</v>
      </c>
      <c r="B378" s="3" t="str">
        <f>TEXT(Table1[[#This Row],[Date]], "YYYY-mm")</f>
        <v>2024-11</v>
      </c>
      <c r="C378" s="4" t="s">
        <v>15</v>
      </c>
      <c r="D378" s="4" t="s">
        <v>8</v>
      </c>
      <c r="E378" s="4">
        <v>13</v>
      </c>
      <c r="F378" s="4">
        <v>8.01</v>
      </c>
      <c r="G378" s="9">
        <f>Table1[[#This Row],[Quantity]]*Table1[[#This Row],[Price]]</f>
        <v>104.13</v>
      </c>
    </row>
    <row r="379" spans="1:7" ht="21" customHeight="1" x14ac:dyDescent="0.3">
      <c r="A379" s="1" t="s">
        <v>144</v>
      </c>
      <c r="B379" s="1" t="str">
        <f>TEXT(Table1[[#This Row],[Date]], "YYYY-mm")</f>
        <v>2024-01</v>
      </c>
      <c r="C379" s="2" t="s">
        <v>12</v>
      </c>
      <c r="D379" s="2" t="s">
        <v>13</v>
      </c>
      <c r="E379" s="2">
        <v>14</v>
      </c>
      <c r="F379" s="2">
        <v>437.4</v>
      </c>
      <c r="G379" s="8">
        <f>Table1[[#This Row],[Quantity]]*Table1[[#This Row],[Price]]</f>
        <v>6123.5999999999995</v>
      </c>
    </row>
    <row r="380" spans="1:7" ht="21" customHeight="1" x14ac:dyDescent="0.3">
      <c r="A380" s="3" t="s">
        <v>147</v>
      </c>
      <c r="B380" s="3" t="str">
        <f>TEXT(Table1[[#This Row],[Date]], "YYYY-mm")</f>
        <v>2024-08</v>
      </c>
      <c r="C380" s="4" t="s">
        <v>34</v>
      </c>
      <c r="D380" s="4" t="s">
        <v>19</v>
      </c>
      <c r="E380" s="4">
        <v>12</v>
      </c>
      <c r="F380" s="4">
        <v>566.46</v>
      </c>
      <c r="G380" s="9">
        <f>Table1[[#This Row],[Quantity]]*Table1[[#This Row],[Price]]</f>
        <v>6797.52</v>
      </c>
    </row>
    <row r="381" spans="1:7" ht="21" customHeight="1" x14ac:dyDescent="0.3">
      <c r="A381" s="1" t="s">
        <v>111</v>
      </c>
      <c r="B381" s="1" t="str">
        <f>TEXT(Table1[[#This Row],[Date]], "YYYY-mm")</f>
        <v>2024-11</v>
      </c>
      <c r="C381" s="2" t="s">
        <v>10</v>
      </c>
      <c r="D381" s="2" t="s">
        <v>8</v>
      </c>
      <c r="E381" s="2">
        <v>12</v>
      </c>
      <c r="F381" s="2">
        <v>72.73</v>
      </c>
      <c r="G381" s="8">
        <f>Table1[[#This Row],[Quantity]]*Table1[[#This Row],[Price]]</f>
        <v>872.76</v>
      </c>
    </row>
    <row r="382" spans="1:7" ht="21" customHeight="1" x14ac:dyDescent="0.3">
      <c r="A382" s="3" t="s">
        <v>253</v>
      </c>
      <c r="B382" s="3" t="str">
        <f>TEXT(Table1[[#This Row],[Date]], "YYYY-mm")</f>
        <v>2024-01</v>
      </c>
      <c r="C382" s="4" t="s">
        <v>7</v>
      </c>
      <c r="D382" s="4" t="s">
        <v>8</v>
      </c>
      <c r="E382" s="4">
        <v>6</v>
      </c>
      <c r="F382" s="4">
        <v>29.63</v>
      </c>
      <c r="G382" s="9">
        <f>Table1[[#This Row],[Quantity]]*Table1[[#This Row],[Price]]</f>
        <v>177.78</v>
      </c>
    </row>
    <row r="383" spans="1:7" ht="21" customHeight="1" x14ac:dyDescent="0.3">
      <c r="A383" s="1" t="s">
        <v>254</v>
      </c>
      <c r="B383" s="1" t="str">
        <f>TEXT(Table1[[#This Row],[Date]], "YYYY-mm")</f>
        <v>2024-09</v>
      </c>
      <c r="C383" s="2" t="s">
        <v>10</v>
      </c>
      <c r="D383" s="2" t="s">
        <v>8</v>
      </c>
      <c r="E383" s="2">
        <v>10</v>
      </c>
      <c r="F383" s="2">
        <v>107.94</v>
      </c>
      <c r="G383" s="8">
        <f>Table1[[#This Row],[Quantity]]*Table1[[#This Row],[Price]]</f>
        <v>1079.4000000000001</v>
      </c>
    </row>
    <row r="384" spans="1:7" ht="21" customHeight="1" x14ac:dyDescent="0.3">
      <c r="A384" s="3" t="s">
        <v>235</v>
      </c>
      <c r="B384" s="3" t="str">
        <f>TEXT(Table1[[#This Row],[Date]], "YYYY-mm")</f>
        <v>2024-09</v>
      </c>
      <c r="C384" s="4" t="s">
        <v>29</v>
      </c>
      <c r="D384" s="4" t="s">
        <v>19</v>
      </c>
      <c r="E384" s="4">
        <v>3</v>
      </c>
      <c r="F384" s="4">
        <v>735.67</v>
      </c>
      <c r="G384" s="9">
        <f>Table1[[#This Row],[Quantity]]*Table1[[#This Row],[Price]]</f>
        <v>2207.0099999999998</v>
      </c>
    </row>
    <row r="385" spans="1:7" ht="21" customHeight="1" x14ac:dyDescent="0.3">
      <c r="A385" s="1" t="s">
        <v>255</v>
      </c>
      <c r="B385" s="1" t="str">
        <f>TEXT(Table1[[#This Row],[Date]], "YYYY-mm")</f>
        <v>2024-09</v>
      </c>
      <c r="C385" s="2" t="s">
        <v>7</v>
      </c>
      <c r="D385" s="2" t="s">
        <v>8</v>
      </c>
      <c r="E385" s="2">
        <v>8</v>
      </c>
      <c r="F385" s="2">
        <v>31.44</v>
      </c>
      <c r="G385" s="8">
        <f>Table1[[#This Row],[Quantity]]*Table1[[#This Row],[Price]]</f>
        <v>251.52</v>
      </c>
    </row>
    <row r="386" spans="1:7" ht="21" customHeight="1" x14ac:dyDescent="0.3">
      <c r="A386" s="3" t="s">
        <v>129</v>
      </c>
      <c r="B386" s="3" t="str">
        <f>TEXT(Table1[[#This Row],[Date]], "YYYY-mm")</f>
        <v>2024-04</v>
      </c>
      <c r="C386" s="4" t="s">
        <v>15</v>
      </c>
      <c r="D386" s="4" t="s">
        <v>8</v>
      </c>
      <c r="E386" s="4">
        <v>5</v>
      </c>
      <c r="F386" s="4">
        <v>9.4</v>
      </c>
      <c r="G386" s="9">
        <f>Table1[[#This Row],[Quantity]]*Table1[[#This Row],[Price]]</f>
        <v>47</v>
      </c>
    </row>
    <row r="387" spans="1:7" ht="21" customHeight="1" x14ac:dyDescent="0.3">
      <c r="A387" s="1" t="s">
        <v>150</v>
      </c>
      <c r="B387" s="1" t="str">
        <f>TEXT(Table1[[#This Row],[Date]], "YYYY-mm")</f>
        <v>2024-11</v>
      </c>
      <c r="C387" s="2" t="s">
        <v>34</v>
      </c>
      <c r="D387" s="2" t="s">
        <v>19</v>
      </c>
      <c r="E387" s="2">
        <v>15</v>
      </c>
      <c r="F387" s="2">
        <v>1208.05</v>
      </c>
      <c r="G387" s="8">
        <f>Table1[[#This Row],[Quantity]]*Table1[[#This Row],[Price]]</f>
        <v>18120.75</v>
      </c>
    </row>
    <row r="388" spans="1:7" ht="21" customHeight="1" x14ac:dyDescent="0.3">
      <c r="A388" s="3" t="s">
        <v>68</v>
      </c>
      <c r="B388" s="3" t="str">
        <f>TEXT(Table1[[#This Row],[Date]], "YYYY-mm")</f>
        <v>2024-07</v>
      </c>
      <c r="C388" s="4" t="s">
        <v>29</v>
      </c>
      <c r="D388" s="4" t="s">
        <v>19</v>
      </c>
      <c r="E388" s="4">
        <v>1</v>
      </c>
      <c r="F388" s="4">
        <v>2071.86</v>
      </c>
      <c r="G388" s="9">
        <f>Table1[[#This Row],[Quantity]]*Table1[[#This Row],[Price]]</f>
        <v>2071.86</v>
      </c>
    </row>
    <row r="389" spans="1:7" ht="21" customHeight="1" x14ac:dyDescent="0.3">
      <c r="A389" s="1" t="s">
        <v>224</v>
      </c>
      <c r="B389" s="1" t="str">
        <f>TEXT(Table1[[#This Row],[Date]], "YYYY-mm")</f>
        <v>2024-09</v>
      </c>
      <c r="C389" s="2" t="s">
        <v>18</v>
      </c>
      <c r="D389" s="2" t="s">
        <v>19</v>
      </c>
      <c r="E389" s="2">
        <v>12</v>
      </c>
      <c r="F389" s="2">
        <v>765.19</v>
      </c>
      <c r="G389" s="8">
        <f>Table1[[#This Row],[Quantity]]*Table1[[#This Row],[Price]]</f>
        <v>9182.2800000000007</v>
      </c>
    </row>
    <row r="390" spans="1:7" ht="21" customHeight="1" x14ac:dyDescent="0.3">
      <c r="A390" s="3" t="s">
        <v>256</v>
      </c>
      <c r="B390" s="3" t="str">
        <f>TEXT(Table1[[#This Row],[Date]], "YYYY-mm")</f>
        <v>2024-08</v>
      </c>
      <c r="C390" s="4" t="s">
        <v>18</v>
      </c>
      <c r="D390" s="4" t="s">
        <v>19</v>
      </c>
      <c r="E390" s="4">
        <v>2</v>
      </c>
      <c r="F390" s="4">
        <v>476.23</v>
      </c>
      <c r="G390" s="9">
        <f>Table1[[#This Row],[Quantity]]*Table1[[#This Row],[Price]]</f>
        <v>952.46</v>
      </c>
    </row>
    <row r="391" spans="1:7" ht="21" customHeight="1" x14ac:dyDescent="0.3">
      <c r="A391" s="1" t="s">
        <v>245</v>
      </c>
      <c r="B391" s="1" t="str">
        <f>TEXT(Table1[[#This Row],[Date]], "YYYY-mm")</f>
        <v>2024-03</v>
      </c>
      <c r="C391" s="2" t="s">
        <v>12</v>
      </c>
      <c r="D391" s="2" t="s">
        <v>13</v>
      </c>
      <c r="E391" s="2">
        <v>15</v>
      </c>
      <c r="F391" s="2">
        <v>322.81</v>
      </c>
      <c r="G391" s="8">
        <f>Table1[[#This Row],[Quantity]]*Table1[[#This Row],[Price]]</f>
        <v>4842.1499999999996</v>
      </c>
    </row>
    <row r="392" spans="1:7" ht="21" customHeight="1" x14ac:dyDescent="0.3">
      <c r="A392" s="3" t="s">
        <v>214</v>
      </c>
      <c r="B392" s="3" t="str">
        <f>TEXT(Table1[[#This Row],[Date]], "YYYY-mm")</f>
        <v>2024-01</v>
      </c>
      <c r="C392" s="4" t="s">
        <v>25</v>
      </c>
      <c r="D392" s="4" t="s">
        <v>19</v>
      </c>
      <c r="E392" s="4">
        <v>6</v>
      </c>
      <c r="F392" s="4">
        <v>657.29</v>
      </c>
      <c r="G392" s="9">
        <f>Table1[[#This Row],[Quantity]]*Table1[[#This Row],[Price]]</f>
        <v>3943.74</v>
      </c>
    </row>
    <row r="393" spans="1:7" ht="21" customHeight="1" x14ac:dyDescent="0.3">
      <c r="A393" s="1" t="s">
        <v>195</v>
      </c>
      <c r="B393" s="1" t="str">
        <f>TEXT(Table1[[#This Row],[Date]], "YYYY-mm")</f>
        <v>2024-12</v>
      </c>
      <c r="C393" s="2" t="s">
        <v>44</v>
      </c>
      <c r="D393" s="2" t="s">
        <v>8</v>
      </c>
      <c r="E393" s="2">
        <v>7</v>
      </c>
      <c r="F393" s="2">
        <v>5.74</v>
      </c>
      <c r="G393" s="8">
        <f>Table1[[#This Row],[Quantity]]*Table1[[#This Row],[Price]]</f>
        <v>40.18</v>
      </c>
    </row>
    <row r="394" spans="1:7" ht="21" customHeight="1" x14ac:dyDescent="0.3">
      <c r="A394" s="3" t="s">
        <v>257</v>
      </c>
      <c r="B394" s="3" t="str">
        <f>TEXT(Table1[[#This Row],[Date]], "YYYY-mm")</f>
        <v>2024-11</v>
      </c>
      <c r="C394" s="4" t="s">
        <v>22</v>
      </c>
      <c r="D394" s="4" t="s">
        <v>13</v>
      </c>
      <c r="E394" s="4">
        <v>4</v>
      </c>
      <c r="F394" s="4">
        <v>1782.6</v>
      </c>
      <c r="G394" s="9">
        <f>Table1[[#This Row],[Quantity]]*Table1[[#This Row],[Price]]</f>
        <v>7130.4</v>
      </c>
    </row>
    <row r="395" spans="1:7" ht="21" customHeight="1" x14ac:dyDescent="0.3">
      <c r="A395" s="1" t="s">
        <v>55</v>
      </c>
      <c r="B395" s="1" t="str">
        <f>TEXT(Table1[[#This Row],[Date]], "YYYY-mm")</f>
        <v>2024-12</v>
      </c>
      <c r="C395" s="2" t="s">
        <v>29</v>
      </c>
      <c r="D395" s="2" t="s">
        <v>19</v>
      </c>
      <c r="E395" s="2">
        <v>13</v>
      </c>
      <c r="F395" s="2">
        <v>1622.44</v>
      </c>
      <c r="G395" s="8">
        <f>Table1[[#This Row],[Quantity]]*Table1[[#This Row],[Price]]</f>
        <v>21091.72</v>
      </c>
    </row>
    <row r="396" spans="1:7" ht="21" customHeight="1" x14ac:dyDescent="0.3">
      <c r="A396" s="3" t="s">
        <v>258</v>
      </c>
      <c r="B396" s="3" t="str">
        <f>TEXT(Table1[[#This Row],[Date]], "YYYY-mm")</f>
        <v>2024-12</v>
      </c>
      <c r="C396" s="4" t="s">
        <v>25</v>
      </c>
      <c r="D396" s="4" t="s">
        <v>19</v>
      </c>
      <c r="E396" s="4">
        <v>2</v>
      </c>
      <c r="F396" s="4">
        <v>903.21</v>
      </c>
      <c r="G396" s="9">
        <f>Table1[[#This Row],[Quantity]]*Table1[[#This Row],[Price]]</f>
        <v>1806.42</v>
      </c>
    </row>
    <row r="397" spans="1:7" ht="21" customHeight="1" x14ac:dyDescent="0.3">
      <c r="A397" s="1" t="s">
        <v>259</v>
      </c>
      <c r="B397" s="1" t="str">
        <f>TEXT(Table1[[#This Row],[Date]], "YYYY-mm")</f>
        <v>2024-01</v>
      </c>
      <c r="C397" s="2" t="s">
        <v>29</v>
      </c>
      <c r="D397" s="2" t="s">
        <v>19</v>
      </c>
      <c r="E397" s="2">
        <v>2</v>
      </c>
      <c r="F397" s="2">
        <v>1405.07</v>
      </c>
      <c r="G397" s="8">
        <f>Table1[[#This Row],[Quantity]]*Table1[[#This Row],[Price]]</f>
        <v>2810.14</v>
      </c>
    </row>
    <row r="398" spans="1:7" ht="21" customHeight="1" x14ac:dyDescent="0.3">
      <c r="A398" s="3" t="s">
        <v>56</v>
      </c>
      <c r="B398" s="3" t="str">
        <f>TEXT(Table1[[#This Row],[Date]], "YYYY-mm")</f>
        <v>2024-06</v>
      </c>
      <c r="C398" s="4" t="s">
        <v>34</v>
      </c>
      <c r="D398" s="4" t="s">
        <v>19</v>
      </c>
      <c r="E398" s="4">
        <v>10</v>
      </c>
      <c r="F398" s="4">
        <v>1080.5999999999999</v>
      </c>
      <c r="G398" s="9">
        <f>Table1[[#This Row],[Quantity]]*Table1[[#This Row],[Price]]</f>
        <v>10806</v>
      </c>
    </row>
    <row r="399" spans="1:7" ht="21" customHeight="1" x14ac:dyDescent="0.3">
      <c r="A399" s="1" t="s">
        <v>260</v>
      </c>
      <c r="B399" s="1" t="str">
        <f>TEXT(Table1[[#This Row],[Date]], "YYYY-mm")</f>
        <v>2024-05</v>
      </c>
      <c r="C399" s="2" t="s">
        <v>25</v>
      </c>
      <c r="D399" s="2" t="s">
        <v>19</v>
      </c>
      <c r="E399" s="2">
        <v>12</v>
      </c>
      <c r="F399" s="2">
        <v>973.62</v>
      </c>
      <c r="G399" s="8">
        <f>Table1[[#This Row],[Quantity]]*Table1[[#This Row],[Price]]</f>
        <v>11683.44</v>
      </c>
    </row>
    <row r="400" spans="1:7" ht="21" customHeight="1" x14ac:dyDescent="0.3">
      <c r="A400" s="3" t="s">
        <v>170</v>
      </c>
      <c r="B400" s="3" t="str">
        <f>TEXT(Table1[[#This Row],[Date]], "YYYY-mm")</f>
        <v>2024-04</v>
      </c>
      <c r="C400" s="4" t="s">
        <v>25</v>
      </c>
      <c r="D400" s="4" t="s">
        <v>19</v>
      </c>
      <c r="E400" s="4">
        <v>4</v>
      </c>
      <c r="F400" s="4">
        <v>889.1</v>
      </c>
      <c r="G400" s="9">
        <f>Table1[[#This Row],[Quantity]]*Table1[[#This Row],[Price]]</f>
        <v>3556.4</v>
      </c>
    </row>
    <row r="401" spans="1:7" ht="21" customHeight="1" x14ac:dyDescent="0.3">
      <c r="A401" s="1" t="s">
        <v>261</v>
      </c>
      <c r="B401" s="1" t="str">
        <f>TEXT(Table1[[#This Row],[Date]], "YYYY-mm")</f>
        <v>2024-03</v>
      </c>
      <c r="C401" s="2" t="s">
        <v>34</v>
      </c>
      <c r="D401" s="2" t="s">
        <v>19</v>
      </c>
      <c r="E401" s="2">
        <v>12</v>
      </c>
      <c r="F401" s="2">
        <v>797.85</v>
      </c>
      <c r="G401" s="8">
        <f>Table1[[#This Row],[Quantity]]*Table1[[#This Row],[Price]]</f>
        <v>9574.2000000000007</v>
      </c>
    </row>
    <row r="402" spans="1:7" ht="21" customHeight="1" x14ac:dyDescent="0.3">
      <c r="A402" s="3" t="s">
        <v>262</v>
      </c>
      <c r="B402" s="3" t="str">
        <f>TEXT(Table1[[#This Row],[Date]], "YYYY-mm")</f>
        <v>2024-11</v>
      </c>
      <c r="C402" s="4" t="s">
        <v>12</v>
      </c>
      <c r="D402" s="4" t="s">
        <v>13</v>
      </c>
      <c r="E402" s="4">
        <v>13</v>
      </c>
      <c r="F402" s="4">
        <v>169.41</v>
      </c>
      <c r="G402" s="9">
        <f>Table1[[#This Row],[Quantity]]*Table1[[#This Row],[Price]]</f>
        <v>2202.33</v>
      </c>
    </row>
    <row r="403" spans="1:7" ht="21" customHeight="1" x14ac:dyDescent="0.3">
      <c r="A403" s="1" t="s">
        <v>263</v>
      </c>
      <c r="B403" s="1" t="str">
        <f>TEXT(Table1[[#This Row],[Date]], "YYYY-mm")</f>
        <v>2024-10</v>
      </c>
      <c r="C403" s="2" t="s">
        <v>34</v>
      </c>
      <c r="D403" s="2" t="s">
        <v>19</v>
      </c>
      <c r="E403" s="2">
        <v>15</v>
      </c>
      <c r="F403" s="2">
        <v>1407.23</v>
      </c>
      <c r="G403" s="8">
        <f>Table1[[#This Row],[Quantity]]*Table1[[#This Row],[Price]]</f>
        <v>21108.45</v>
      </c>
    </row>
    <row r="404" spans="1:7" ht="21" customHeight="1" x14ac:dyDescent="0.3">
      <c r="A404" s="3" t="s">
        <v>168</v>
      </c>
      <c r="B404" s="3" t="str">
        <f>TEXT(Table1[[#This Row],[Date]], "YYYY-mm")</f>
        <v>2024-03</v>
      </c>
      <c r="C404" s="4" t="s">
        <v>18</v>
      </c>
      <c r="D404" s="4" t="s">
        <v>19</v>
      </c>
      <c r="E404" s="4">
        <v>14</v>
      </c>
      <c r="F404" s="4">
        <v>528.29999999999995</v>
      </c>
      <c r="G404" s="9">
        <f>Table1[[#This Row],[Quantity]]*Table1[[#This Row],[Price]]</f>
        <v>7396.1999999999989</v>
      </c>
    </row>
    <row r="405" spans="1:7" ht="21" customHeight="1" x14ac:dyDescent="0.3">
      <c r="A405" s="1" t="s">
        <v>153</v>
      </c>
      <c r="B405" s="1" t="str">
        <f>TEXT(Table1[[#This Row],[Date]], "YYYY-mm")</f>
        <v>2024-07</v>
      </c>
      <c r="C405" s="2" t="s">
        <v>34</v>
      </c>
      <c r="D405" s="2" t="s">
        <v>19</v>
      </c>
      <c r="E405" s="2">
        <v>9</v>
      </c>
      <c r="F405" s="2">
        <v>449.6</v>
      </c>
      <c r="G405" s="8">
        <f>Table1[[#This Row],[Quantity]]*Table1[[#This Row],[Price]]</f>
        <v>4046.4</v>
      </c>
    </row>
    <row r="406" spans="1:7" ht="21" customHeight="1" x14ac:dyDescent="0.3">
      <c r="A406" s="3" t="s">
        <v>143</v>
      </c>
      <c r="B406" s="3" t="str">
        <f>TEXT(Table1[[#This Row],[Date]], "YYYY-mm")</f>
        <v>2024-11</v>
      </c>
      <c r="C406" s="4" t="s">
        <v>34</v>
      </c>
      <c r="D406" s="4" t="s">
        <v>19</v>
      </c>
      <c r="E406" s="4">
        <v>9</v>
      </c>
      <c r="F406" s="4">
        <v>1442.31</v>
      </c>
      <c r="G406" s="9">
        <f>Table1[[#This Row],[Quantity]]*Table1[[#This Row],[Price]]</f>
        <v>12980.789999999999</v>
      </c>
    </row>
    <row r="407" spans="1:7" ht="21" customHeight="1" x14ac:dyDescent="0.3">
      <c r="A407" s="1" t="s">
        <v>264</v>
      </c>
      <c r="B407" s="1" t="str">
        <f>TEXT(Table1[[#This Row],[Date]], "YYYY-mm")</f>
        <v>2024-10</v>
      </c>
      <c r="C407" s="2" t="s">
        <v>39</v>
      </c>
      <c r="D407" s="2" t="s">
        <v>8</v>
      </c>
      <c r="E407" s="2">
        <v>9</v>
      </c>
      <c r="F407" s="2">
        <v>5.43</v>
      </c>
      <c r="G407" s="8">
        <f>Table1[[#This Row],[Quantity]]*Table1[[#This Row],[Price]]</f>
        <v>48.87</v>
      </c>
    </row>
    <row r="408" spans="1:7" ht="21" customHeight="1" x14ac:dyDescent="0.3">
      <c r="A408" s="3" t="s">
        <v>203</v>
      </c>
      <c r="B408" s="3" t="str">
        <f>TEXT(Table1[[#This Row],[Date]], "YYYY-mm")</f>
        <v>2024-03</v>
      </c>
      <c r="C408" s="4" t="s">
        <v>12</v>
      </c>
      <c r="D408" s="4" t="s">
        <v>13</v>
      </c>
      <c r="E408" s="4">
        <v>12</v>
      </c>
      <c r="F408" s="4">
        <v>264.74</v>
      </c>
      <c r="G408" s="9">
        <f>Table1[[#This Row],[Quantity]]*Table1[[#This Row],[Price]]</f>
        <v>3176.88</v>
      </c>
    </row>
    <row r="409" spans="1:7" ht="21" customHeight="1" x14ac:dyDescent="0.3">
      <c r="A409" s="1" t="s">
        <v>21</v>
      </c>
      <c r="B409" s="1" t="str">
        <f>TEXT(Table1[[#This Row],[Date]], "YYYY-mm")</f>
        <v>2024-03</v>
      </c>
      <c r="C409" s="2" t="s">
        <v>39</v>
      </c>
      <c r="D409" s="2" t="s">
        <v>8</v>
      </c>
      <c r="E409" s="2">
        <v>7</v>
      </c>
      <c r="F409" s="2">
        <v>2.6</v>
      </c>
      <c r="G409" s="8">
        <f>Table1[[#This Row],[Quantity]]*Table1[[#This Row],[Price]]</f>
        <v>18.2</v>
      </c>
    </row>
    <row r="410" spans="1:7" ht="21" customHeight="1" x14ac:dyDescent="0.3">
      <c r="A410" s="3" t="s">
        <v>23</v>
      </c>
      <c r="B410" s="3" t="str">
        <f>TEXT(Table1[[#This Row],[Date]], "YYYY-mm")</f>
        <v>2024-05</v>
      </c>
      <c r="C410" s="4" t="s">
        <v>44</v>
      </c>
      <c r="D410" s="4" t="s">
        <v>8</v>
      </c>
      <c r="E410" s="4">
        <v>9</v>
      </c>
      <c r="F410" s="4">
        <v>18.71</v>
      </c>
      <c r="G410" s="9">
        <f>Table1[[#This Row],[Quantity]]*Table1[[#This Row],[Price]]</f>
        <v>168.39000000000001</v>
      </c>
    </row>
    <row r="411" spans="1:7" ht="21" customHeight="1" x14ac:dyDescent="0.3">
      <c r="A411" s="1" t="s">
        <v>157</v>
      </c>
      <c r="B411" s="1" t="str">
        <f>TEXT(Table1[[#This Row],[Date]], "YYYY-mm")</f>
        <v>2024-01</v>
      </c>
      <c r="C411" s="2" t="s">
        <v>7</v>
      </c>
      <c r="D411" s="2" t="s">
        <v>8</v>
      </c>
      <c r="E411" s="2">
        <v>13</v>
      </c>
      <c r="F411" s="2">
        <v>62.2</v>
      </c>
      <c r="G411" s="8">
        <f>Table1[[#This Row],[Quantity]]*Table1[[#This Row],[Price]]</f>
        <v>808.6</v>
      </c>
    </row>
    <row r="412" spans="1:7" ht="21" customHeight="1" x14ac:dyDescent="0.3">
      <c r="A412" s="3" t="s">
        <v>265</v>
      </c>
      <c r="B412" s="3" t="str">
        <f>TEXT(Table1[[#This Row],[Date]], "YYYY-mm")</f>
        <v>2024-09</v>
      </c>
      <c r="C412" s="4" t="s">
        <v>10</v>
      </c>
      <c r="D412" s="4" t="s">
        <v>8</v>
      </c>
      <c r="E412" s="4">
        <v>11</v>
      </c>
      <c r="F412" s="4">
        <v>68.69</v>
      </c>
      <c r="G412" s="9">
        <f>Table1[[#This Row],[Quantity]]*Table1[[#This Row],[Price]]</f>
        <v>755.58999999999992</v>
      </c>
    </row>
    <row r="413" spans="1:7" ht="21" customHeight="1" x14ac:dyDescent="0.3">
      <c r="A413" s="1" t="s">
        <v>185</v>
      </c>
      <c r="B413" s="1" t="str">
        <f>TEXT(Table1[[#This Row],[Date]], "YYYY-mm")</f>
        <v>2024-01</v>
      </c>
      <c r="C413" s="2" t="s">
        <v>7</v>
      </c>
      <c r="D413" s="2" t="s">
        <v>8</v>
      </c>
      <c r="E413" s="2">
        <v>7</v>
      </c>
      <c r="F413" s="2">
        <v>53.26</v>
      </c>
      <c r="G413" s="8">
        <f>Table1[[#This Row],[Quantity]]*Table1[[#This Row],[Price]]</f>
        <v>372.82</v>
      </c>
    </row>
    <row r="414" spans="1:7" ht="21" customHeight="1" x14ac:dyDescent="0.3">
      <c r="A414" s="3" t="s">
        <v>174</v>
      </c>
      <c r="B414" s="3" t="str">
        <f>TEXT(Table1[[#This Row],[Date]], "YYYY-mm")</f>
        <v>2024-10</v>
      </c>
      <c r="C414" s="4" t="s">
        <v>34</v>
      </c>
      <c r="D414" s="4" t="s">
        <v>19</v>
      </c>
      <c r="E414" s="4">
        <v>15</v>
      </c>
      <c r="F414" s="4">
        <v>1127</v>
      </c>
      <c r="G414" s="9">
        <f>Table1[[#This Row],[Quantity]]*Table1[[#This Row],[Price]]</f>
        <v>16905</v>
      </c>
    </row>
    <row r="415" spans="1:7" ht="21" customHeight="1" x14ac:dyDescent="0.3">
      <c r="A415" s="1" t="s">
        <v>16</v>
      </c>
      <c r="B415" s="1" t="str">
        <f>TEXT(Table1[[#This Row],[Date]], "YYYY-mm")</f>
        <v>2024-02</v>
      </c>
      <c r="C415" s="2" t="s">
        <v>27</v>
      </c>
      <c r="D415" s="2" t="s">
        <v>8</v>
      </c>
      <c r="E415" s="2">
        <v>8</v>
      </c>
      <c r="F415" s="2">
        <v>151.43</v>
      </c>
      <c r="G415" s="8">
        <f>Table1[[#This Row],[Quantity]]*Table1[[#This Row],[Price]]</f>
        <v>1211.44</v>
      </c>
    </row>
    <row r="416" spans="1:7" ht="21" customHeight="1" x14ac:dyDescent="0.3">
      <c r="A416" s="3" t="s">
        <v>101</v>
      </c>
      <c r="B416" s="3" t="str">
        <f>TEXT(Table1[[#This Row],[Date]], "YYYY-mm")</f>
        <v>2024-06</v>
      </c>
      <c r="C416" s="4" t="s">
        <v>39</v>
      </c>
      <c r="D416" s="4" t="s">
        <v>8</v>
      </c>
      <c r="E416" s="4">
        <v>10</v>
      </c>
      <c r="F416" s="4">
        <v>3.66</v>
      </c>
      <c r="G416" s="9">
        <f>Table1[[#This Row],[Quantity]]*Table1[[#This Row],[Price]]</f>
        <v>36.6</v>
      </c>
    </row>
    <row r="417" spans="1:7" ht="21" customHeight="1" x14ac:dyDescent="0.3">
      <c r="A417" s="1" t="s">
        <v>54</v>
      </c>
      <c r="B417" s="1" t="str">
        <f>TEXT(Table1[[#This Row],[Date]], "YYYY-mm")</f>
        <v>2024-06</v>
      </c>
      <c r="C417" s="2" t="s">
        <v>22</v>
      </c>
      <c r="D417" s="2" t="s">
        <v>13</v>
      </c>
      <c r="E417" s="2">
        <v>15</v>
      </c>
      <c r="F417" s="2">
        <v>1308.99</v>
      </c>
      <c r="G417" s="8">
        <f>Table1[[#This Row],[Quantity]]*Table1[[#This Row],[Price]]</f>
        <v>19634.849999999999</v>
      </c>
    </row>
    <row r="418" spans="1:7" ht="21" customHeight="1" x14ac:dyDescent="0.3">
      <c r="A418" s="3" t="s">
        <v>266</v>
      </c>
      <c r="B418" s="3" t="str">
        <f>TEXT(Table1[[#This Row],[Date]], "YYYY-mm")</f>
        <v>2024-03</v>
      </c>
      <c r="C418" s="4" t="s">
        <v>44</v>
      </c>
      <c r="D418" s="4" t="s">
        <v>8</v>
      </c>
      <c r="E418" s="4">
        <v>6</v>
      </c>
      <c r="F418" s="4">
        <v>19.98</v>
      </c>
      <c r="G418" s="9">
        <f>Table1[[#This Row],[Quantity]]*Table1[[#This Row],[Price]]</f>
        <v>119.88</v>
      </c>
    </row>
    <row r="419" spans="1:7" ht="21" customHeight="1" x14ac:dyDescent="0.3">
      <c r="A419" s="1" t="s">
        <v>139</v>
      </c>
      <c r="B419" s="1" t="str">
        <f>TEXT(Table1[[#This Row],[Date]], "YYYY-mm")</f>
        <v>2024-01</v>
      </c>
      <c r="C419" s="2" t="s">
        <v>27</v>
      </c>
      <c r="D419" s="2" t="s">
        <v>8</v>
      </c>
      <c r="E419" s="2">
        <v>1</v>
      </c>
      <c r="F419" s="2">
        <v>136.32</v>
      </c>
      <c r="G419" s="8">
        <f>Table1[[#This Row],[Quantity]]*Table1[[#This Row],[Price]]</f>
        <v>136.32</v>
      </c>
    </row>
    <row r="420" spans="1:7" ht="21" customHeight="1" x14ac:dyDescent="0.3">
      <c r="A420" s="3" t="s">
        <v>120</v>
      </c>
      <c r="B420" s="3" t="str">
        <f>TEXT(Table1[[#This Row],[Date]], "YYYY-mm")</f>
        <v>2024-10</v>
      </c>
      <c r="C420" s="4" t="s">
        <v>10</v>
      </c>
      <c r="D420" s="4" t="s">
        <v>8</v>
      </c>
      <c r="E420" s="4">
        <v>11</v>
      </c>
      <c r="F420" s="4">
        <v>59.17</v>
      </c>
      <c r="G420" s="9">
        <f>Table1[[#This Row],[Quantity]]*Table1[[#This Row],[Price]]</f>
        <v>650.87</v>
      </c>
    </row>
    <row r="421" spans="1:7" ht="21" customHeight="1" x14ac:dyDescent="0.3">
      <c r="A421" s="1" t="s">
        <v>233</v>
      </c>
      <c r="B421" s="1" t="str">
        <f>TEXT(Table1[[#This Row],[Date]], "YYYY-mm")</f>
        <v>2024-07</v>
      </c>
      <c r="C421" s="2" t="s">
        <v>22</v>
      </c>
      <c r="D421" s="2" t="s">
        <v>13</v>
      </c>
      <c r="E421" s="2">
        <v>7</v>
      </c>
      <c r="F421" s="2">
        <v>543.58000000000004</v>
      </c>
      <c r="G421" s="8">
        <f>Table1[[#This Row],[Quantity]]*Table1[[#This Row],[Price]]</f>
        <v>3805.0600000000004</v>
      </c>
    </row>
    <row r="422" spans="1:7" ht="21" customHeight="1" x14ac:dyDescent="0.3">
      <c r="A422" s="3" t="s">
        <v>211</v>
      </c>
      <c r="B422" s="3" t="str">
        <f>TEXT(Table1[[#This Row],[Date]], "YYYY-mm")</f>
        <v>2024-11</v>
      </c>
      <c r="C422" s="4" t="s">
        <v>39</v>
      </c>
      <c r="D422" s="4" t="s">
        <v>8</v>
      </c>
      <c r="E422" s="4">
        <v>15</v>
      </c>
      <c r="F422" s="4">
        <v>3.25</v>
      </c>
      <c r="G422" s="9">
        <f>Table1[[#This Row],[Quantity]]*Table1[[#This Row],[Price]]</f>
        <v>48.75</v>
      </c>
    </row>
    <row r="423" spans="1:7" ht="21" customHeight="1" x14ac:dyDescent="0.3">
      <c r="A423" s="1" t="s">
        <v>73</v>
      </c>
      <c r="B423" s="1" t="str">
        <f>TEXT(Table1[[#This Row],[Date]], "YYYY-mm")</f>
        <v>2024-07</v>
      </c>
      <c r="C423" s="2" t="s">
        <v>22</v>
      </c>
      <c r="D423" s="2" t="s">
        <v>13</v>
      </c>
      <c r="E423" s="2">
        <v>9</v>
      </c>
      <c r="F423" s="2">
        <v>1524.74</v>
      </c>
      <c r="G423" s="8">
        <f>Table1[[#This Row],[Quantity]]*Table1[[#This Row],[Price]]</f>
        <v>13722.66</v>
      </c>
    </row>
    <row r="424" spans="1:7" ht="21" customHeight="1" x14ac:dyDescent="0.3">
      <c r="A424" s="3" t="s">
        <v>199</v>
      </c>
      <c r="B424" s="3" t="str">
        <f>TEXT(Table1[[#This Row],[Date]], "YYYY-mm")</f>
        <v>2024-09</v>
      </c>
      <c r="C424" s="4" t="s">
        <v>29</v>
      </c>
      <c r="D424" s="4" t="s">
        <v>19</v>
      </c>
      <c r="E424" s="4">
        <v>10</v>
      </c>
      <c r="F424" s="4">
        <v>1312.56</v>
      </c>
      <c r="G424" s="9">
        <f>Table1[[#This Row],[Quantity]]*Table1[[#This Row],[Price]]</f>
        <v>13125.599999999999</v>
      </c>
    </row>
    <row r="425" spans="1:7" ht="21" customHeight="1" x14ac:dyDescent="0.3">
      <c r="A425" s="1" t="s">
        <v>164</v>
      </c>
      <c r="B425" s="1" t="str">
        <f>TEXT(Table1[[#This Row],[Date]], "YYYY-mm")</f>
        <v>2024-06</v>
      </c>
      <c r="C425" s="2" t="s">
        <v>15</v>
      </c>
      <c r="D425" s="2" t="s">
        <v>8</v>
      </c>
      <c r="E425" s="2">
        <v>11</v>
      </c>
      <c r="F425" s="2">
        <v>7.89</v>
      </c>
      <c r="G425" s="8">
        <f>Table1[[#This Row],[Quantity]]*Table1[[#This Row],[Price]]</f>
        <v>86.789999999999992</v>
      </c>
    </row>
    <row r="426" spans="1:7" ht="21" customHeight="1" x14ac:dyDescent="0.3">
      <c r="A426" s="3" t="s">
        <v>82</v>
      </c>
      <c r="B426" s="3" t="str">
        <f>TEXT(Table1[[#This Row],[Date]], "YYYY-mm")</f>
        <v>2024-06</v>
      </c>
      <c r="C426" s="4" t="s">
        <v>18</v>
      </c>
      <c r="D426" s="4" t="s">
        <v>19</v>
      </c>
      <c r="E426" s="4">
        <v>3</v>
      </c>
      <c r="F426" s="4">
        <v>787.14</v>
      </c>
      <c r="G426" s="9">
        <f>Table1[[#This Row],[Quantity]]*Table1[[#This Row],[Price]]</f>
        <v>2361.42</v>
      </c>
    </row>
    <row r="427" spans="1:7" ht="21" customHeight="1" x14ac:dyDescent="0.3">
      <c r="A427" s="1" t="s">
        <v>267</v>
      </c>
      <c r="B427" s="1" t="str">
        <f>TEXT(Table1[[#This Row],[Date]], "YYYY-mm")</f>
        <v>2024-08</v>
      </c>
      <c r="C427" s="2" t="s">
        <v>25</v>
      </c>
      <c r="D427" s="2" t="s">
        <v>19</v>
      </c>
      <c r="E427" s="2">
        <v>8</v>
      </c>
      <c r="F427" s="2">
        <v>613.76</v>
      </c>
      <c r="G427" s="8">
        <f>Table1[[#This Row],[Quantity]]*Table1[[#This Row],[Price]]</f>
        <v>4910.08</v>
      </c>
    </row>
    <row r="428" spans="1:7" ht="21" customHeight="1" x14ac:dyDescent="0.3">
      <c r="A428" s="3" t="s">
        <v>268</v>
      </c>
      <c r="B428" s="3" t="str">
        <f>TEXT(Table1[[#This Row],[Date]], "YYYY-mm")</f>
        <v>2024-05</v>
      </c>
      <c r="C428" s="4" t="s">
        <v>10</v>
      </c>
      <c r="D428" s="4" t="s">
        <v>8</v>
      </c>
      <c r="E428" s="4">
        <v>12</v>
      </c>
      <c r="F428" s="4">
        <v>89.33</v>
      </c>
      <c r="G428" s="9">
        <f>Table1[[#This Row],[Quantity]]*Table1[[#This Row],[Price]]</f>
        <v>1071.96</v>
      </c>
    </row>
    <row r="429" spans="1:7" ht="21" customHeight="1" x14ac:dyDescent="0.3">
      <c r="A429" s="1" t="s">
        <v>71</v>
      </c>
      <c r="B429" s="1" t="str">
        <f>TEXT(Table1[[#This Row],[Date]], "YYYY-mm")</f>
        <v>2024-02</v>
      </c>
      <c r="C429" s="2" t="s">
        <v>27</v>
      </c>
      <c r="D429" s="2" t="s">
        <v>8</v>
      </c>
      <c r="E429" s="2">
        <v>6</v>
      </c>
      <c r="F429" s="2">
        <v>150.68</v>
      </c>
      <c r="G429" s="8">
        <f>Table1[[#This Row],[Quantity]]*Table1[[#This Row],[Price]]</f>
        <v>904.08</v>
      </c>
    </row>
    <row r="430" spans="1:7" ht="21" customHeight="1" x14ac:dyDescent="0.3">
      <c r="A430" s="3" t="s">
        <v>269</v>
      </c>
      <c r="B430" s="3" t="str">
        <f>TEXT(Table1[[#This Row],[Date]], "YYYY-mm")</f>
        <v>2024-06</v>
      </c>
      <c r="C430" s="4" t="s">
        <v>15</v>
      </c>
      <c r="D430" s="4" t="s">
        <v>8</v>
      </c>
      <c r="E430" s="4">
        <v>7</v>
      </c>
      <c r="F430" s="4">
        <v>8.56</v>
      </c>
      <c r="G430" s="9">
        <f>Table1[[#This Row],[Quantity]]*Table1[[#This Row],[Price]]</f>
        <v>59.92</v>
      </c>
    </row>
    <row r="431" spans="1:7" ht="21" customHeight="1" x14ac:dyDescent="0.3">
      <c r="A431" s="1" t="s">
        <v>176</v>
      </c>
      <c r="B431" s="1" t="str">
        <f>TEXT(Table1[[#This Row],[Date]], "YYYY-mm")</f>
        <v>2024-03</v>
      </c>
      <c r="C431" s="2" t="s">
        <v>10</v>
      </c>
      <c r="D431" s="2" t="s">
        <v>8</v>
      </c>
      <c r="E431" s="2">
        <v>8</v>
      </c>
      <c r="F431" s="2">
        <v>40.799999999999997</v>
      </c>
      <c r="G431" s="8">
        <f>Table1[[#This Row],[Quantity]]*Table1[[#This Row],[Price]]</f>
        <v>326.39999999999998</v>
      </c>
    </row>
    <row r="432" spans="1:7" ht="21" customHeight="1" x14ac:dyDescent="0.3">
      <c r="A432" s="3" t="s">
        <v>270</v>
      </c>
      <c r="B432" s="3" t="str">
        <f>TEXT(Table1[[#This Row],[Date]], "YYYY-mm")</f>
        <v>2024-04</v>
      </c>
      <c r="C432" s="4" t="s">
        <v>15</v>
      </c>
      <c r="D432" s="4" t="s">
        <v>8</v>
      </c>
      <c r="E432" s="4">
        <v>11</v>
      </c>
      <c r="F432" s="4">
        <v>6.65</v>
      </c>
      <c r="G432" s="9">
        <f>Table1[[#This Row],[Quantity]]*Table1[[#This Row],[Price]]</f>
        <v>73.150000000000006</v>
      </c>
    </row>
    <row r="433" spans="1:7" ht="21" customHeight="1" x14ac:dyDescent="0.3">
      <c r="A433" s="1" t="s">
        <v>253</v>
      </c>
      <c r="B433" s="1" t="str">
        <f>TEXT(Table1[[#This Row],[Date]], "YYYY-mm")</f>
        <v>2024-01</v>
      </c>
      <c r="C433" s="2" t="s">
        <v>12</v>
      </c>
      <c r="D433" s="2" t="s">
        <v>13</v>
      </c>
      <c r="E433" s="2">
        <v>3</v>
      </c>
      <c r="F433" s="2">
        <v>253.93</v>
      </c>
      <c r="G433" s="8">
        <f>Table1[[#This Row],[Quantity]]*Table1[[#This Row],[Price]]</f>
        <v>761.79</v>
      </c>
    </row>
    <row r="434" spans="1:7" ht="21" customHeight="1" x14ac:dyDescent="0.3">
      <c r="A434" s="3" t="s">
        <v>184</v>
      </c>
      <c r="B434" s="3" t="str">
        <f>TEXT(Table1[[#This Row],[Date]], "YYYY-mm")</f>
        <v>2024-06</v>
      </c>
      <c r="C434" s="4" t="s">
        <v>25</v>
      </c>
      <c r="D434" s="4" t="s">
        <v>19</v>
      </c>
      <c r="E434" s="4">
        <v>13</v>
      </c>
      <c r="F434" s="4">
        <v>635.01</v>
      </c>
      <c r="G434" s="9">
        <f>Table1[[#This Row],[Quantity]]*Table1[[#This Row],[Price]]</f>
        <v>8255.1299999999992</v>
      </c>
    </row>
    <row r="435" spans="1:7" ht="21" customHeight="1" x14ac:dyDescent="0.3">
      <c r="A435" s="1" t="s">
        <v>271</v>
      </c>
      <c r="B435" s="1" t="str">
        <f>TEXT(Table1[[#This Row],[Date]], "YYYY-mm")</f>
        <v>2024-04</v>
      </c>
      <c r="C435" s="2" t="s">
        <v>7</v>
      </c>
      <c r="D435" s="2" t="s">
        <v>8</v>
      </c>
      <c r="E435" s="2">
        <v>3</v>
      </c>
      <c r="F435" s="2">
        <v>51.79</v>
      </c>
      <c r="G435" s="8">
        <f>Table1[[#This Row],[Quantity]]*Table1[[#This Row],[Price]]</f>
        <v>155.37</v>
      </c>
    </row>
    <row r="436" spans="1:7" ht="21" customHeight="1" x14ac:dyDescent="0.3">
      <c r="A436" s="3" t="s">
        <v>115</v>
      </c>
      <c r="B436" s="3" t="str">
        <f>TEXT(Table1[[#This Row],[Date]], "YYYY-mm")</f>
        <v>2024-10</v>
      </c>
      <c r="C436" s="4" t="s">
        <v>7</v>
      </c>
      <c r="D436" s="4" t="s">
        <v>8</v>
      </c>
      <c r="E436" s="4">
        <v>7</v>
      </c>
      <c r="F436" s="4">
        <v>40.22</v>
      </c>
      <c r="G436" s="9">
        <f>Table1[[#This Row],[Quantity]]*Table1[[#This Row],[Price]]</f>
        <v>281.53999999999996</v>
      </c>
    </row>
    <row r="437" spans="1:7" ht="21" customHeight="1" x14ac:dyDescent="0.3">
      <c r="A437" s="1" t="s">
        <v>272</v>
      </c>
      <c r="B437" s="1" t="str">
        <f>TEXT(Table1[[#This Row],[Date]], "YYYY-mm")</f>
        <v>2024-05</v>
      </c>
      <c r="C437" s="2" t="s">
        <v>10</v>
      </c>
      <c r="D437" s="2" t="s">
        <v>8</v>
      </c>
      <c r="E437" s="2">
        <v>3</v>
      </c>
      <c r="F437" s="2">
        <v>59.55</v>
      </c>
      <c r="G437" s="8">
        <f>Table1[[#This Row],[Quantity]]*Table1[[#This Row],[Price]]</f>
        <v>178.64999999999998</v>
      </c>
    </row>
    <row r="438" spans="1:7" ht="21" customHeight="1" x14ac:dyDescent="0.3">
      <c r="A438" s="3" t="s">
        <v>71</v>
      </c>
      <c r="B438" s="3" t="str">
        <f>TEXT(Table1[[#This Row],[Date]], "YYYY-mm")</f>
        <v>2024-02</v>
      </c>
      <c r="C438" s="4" t="s">
        <v>44</v>
      </c>
      <c r="D438" s="4" t="s">
        <v>8</v>
      </c>
      <c r="E438" s="4">
        <v>13</v>
      </c>
      <c r="F438" s="4">
        <v>11.91</v>
      </c>
      <c r="G438" s="9">
        <f>Table1[[#This Row],[Quantity]]*Table1[[#This Row],[Price]]</f>
        <v>154.83000000000001</v>
      </c>
    </row>
    <row r="439" spans="1:7" ht="21" customHeight="1" x14ac:dyDescent="0.3">
      <c r="A439" s="1" t="s">
        <v>272</v>
      </c>
      <c r="B439" s="1" t="str">
        <f>TEXT(Table1[[#This Row],[Date]], "YYYY-mm")</f>
        <v>2024-05</v>
      </c>
      <c r="C439" s="2" t="s">
        <v>15</v>
      </c>
      <c r="D439" s="2" t="s">
        <v>8</v>
      </c>
      <c r="E439" s="2">
        <v>10</v>
      </c>
      <c r="F439" s="2">
        <v>5.35</v>
      </c>
      <c r="G439" s="8">
        <f>Table1[[#This Row],[Quantity]]*Table1[[#This Row],[Price]]</f>
        <v>53.5</v>
      </c>
    </row>
    <row r="440" spans="1:7" ht="21" customHeight="1" x14ac:dyDescent="0.3">
      <c r="A440" s="3" t="s">
        <v>265</v>
      </c>
      <c r="B440" s="3" t="str">
        <f>TEXT(Table1[[#This Row],[Date]], "YYYY-mm")</f>
        <v>2024-09</v>
      </c>
      <c r="C440" s="4" t="s">
        <v>25</v>
      </c>
      <c r="D440" s="4" t="s">
        <v>19</v>
      </c>
      <c r="E440" s="4">
        <v>11</v>
      </c>
      <c r="F440" s="4">
        <v>484.04</v>
      </c>
      <c r="G440" s="9">
        <f>Table1[[#This Row],[Quantity]]*Table1[[#This Row],[Price]]</f>
        <v>5324.4400000000005</v>
      </c>
    </row>
    <row r="441" spans="1:7" ht="21" customHeight="1" x14ac:dyDescent="0.3">
      <c r="A441" s="1" t="s">
        <v>273</v>
      </c>
      <c r="B441" s="1" t="str">
        <f>TEXT(Table1[[#This Row],[Date]], "YYYY-mm")</f>
        <v>2024-02</v>
      </c>
      <c r="C441" s="2" t="s">
        <v>25</v>
      </c>
      <c r="D441" s="2" t="s">
        <v>19</v>
      </c>
      <c r="E441" s="2">
        <v>4</v>
      </c>
      <c r="F441" s="2">
        <v>1060.1400000000001</v>
      </c>
      <c r="G441" s="8">
        <f>Table1[[#This Row],[Quantity]]*Table1[[#This Row],[Price]]</f>
        <v>4240.5600000000004</v>
      </c>
    </row>
    <row r="442" spans="1:7" ht="21" customHeight="1" x14ac:dyDescent="0.3">
      <c r="A442" s="3" t="s">
        <v>274</v>
      </c>
      <c r="B442" s="3" t="str">
        <f>TEXT(Table1[[#This Row],[Date]], "YYYY-mm")</f>
        <v>2024-12</v>
      </c>
      <c r="C442" s="4" t="s">
        <v>22</v>
      </c>
      <c r="D442" s="4" t="s">
        <v>13</v>
      </c>
      <c r="E442" s="4">
        <v>11</v>
      </c>
      <c r="F442" s="4">
        <v>685.86</v>
      </c>
      <c r="G442" s="9">
        <f>Table1[[#This Row],[Quantity]]*Table1[[#This Row],[Price]]</f>
        <v>7544.46</v>
      </c>
    </row>
    <row r="443" spans="1:7" ht="21" customHeight="1" x14ac:dyDescent="0.3">
      <c r="A443" s="1" t="s">
        <v>132</v>
      </c>
      <c r="B443" s="1" t="str">
        <f>TEXT(Table1[[#This Row],[Date]], "YYYY-mm")</f>
        <v>2024-11</v>
      </c>
      <c r="C443" s="2" t="s">
        <v>22</v>
      </c>
      <c r="D443" s="2" t="s">
        <v>13</v>
      </c>
      <c r="E443" s="2">
        <v>10</v>
      </c>
      <c r="F443" s="2">
        <v>1170.5999999999999</v>
      </c>
      <c r="G443" s="8">
        <f>Table1[[#This Row],[Quantity]]*Table1[[#This Row],[Price]]</f>
        <v>11706</v>
      </c>
    </row>
    <row r="444" spans="1:7" ht="21" customHeight="1" x14ac:dyDescent="0.3">
      <c r="A444" s="3" t="s">
        <v>275</v>
      </c>
      <c r="B444" s="3" t="str">
        <f>TEXT(Table1[[#This Row],[Date]], "YYYY-mm")</f>
        <v>2024-11</v>
      </c>
      <c r="C444" s="4" t="s">
        <v>27</v>
      </c>
      <c r="D444" s="4" t="s">
        <v>8</v>
      </c>
      <c r="E444" s="4">
        <v>14</v>
      </c>
      <c r="F444" s="4">
        <v>82.88</v>
      </c>
      <c r="G444" s="9">
        <f>Table1[[#This Row],[Quantity]]*Table1[[#This Row],[Price]]</f>
        <v>1160.32</v>
      </c>
    </row>
    <row r="445" spans="1:7" ht="21" customHeight="1" x14ac:dyDescent="0.3">
      <c r="A445" s="1" t="s">
        <v>276</v>
      </c>
      <c r="B445" s="1" t="str">
        <f>TEXT(Table1[[#This Row],[Date]], "YYYY-mm")</f>
        <v>2024-02</v>
      </c>
      <c r="C445" s="2" t="s">
        <v>10</v>
      </c>
      <c r="D445" s="2" t="s">
        <v>8</v>
      </c>
      <c r="E445" s="2">
        <v>11</v>
      </c>
      <c r="F445" s="2">
        <v>43.93</v>
      </c>
      <c r="G445" s="8">
        <f>Table1[[#This Row],[Quantity]]*Table1[[#This Row],[Price]]</f>
        <v>483.23</v>
      </c>
    </row>
    <row r="446" spans="1:7" ht="21" customHeight="1" x14ac:dyDescent="0.3">
      <c r="A446" s="3" t="s">
        <v>23</v>
      </c>
      <c r="B446" s="3" t="str">
        <f>TEXT(Table1[[#This Row],[Date]], "YYYY-mm")</f>
        <v>2024-05</v>
      </c>
      <c r="C446" s="4" t="s">
        <v>25</v>
      </c>
      <c r="D446" s="4" t="s">
        <v>19</v>
      </c>
      <c r="E446" s="4">
        <v>9</v>
      </c>
      <c r="F446" s="4">
        <v>1124.25</v>
      </c>
      <c r="G446" s="9">
        <f>Table1[[#This Row],[Quantity]]*Table1[[#This Row],[Price]]</f>
        <v>10118.25</v>
      </c>
    </row>
    <row r="447" spans="1:7" ht="21" customHeight="1" x14ac:dyDescent="0.3">
      <c r="A447" s="1" t="s">
        <v>277</v>
      </c>
      <c r="B447" s="1" t="str">
        <f>TEXT(Table1[[#This Row],[Date]], "YYYY-mm")</f>
        <v>2024-03</v>
      </c>
      <c r="C447" s="2" t="s">
        <v>22</v>
      </c>
      <c r="D447" s="2" t="s">
        <v>13</v>
      </c>
      <c r="E447" s="2">
        <v>13</v>
      </c>
      <c r="F447" s="2">
        <v>1904.19</v>
      </c>
      <c r="G447" s="8">
        <f>Table1[[#This Row],[Quantity]]*Table1[[#This Row],[Price]]</f>
        <v>24754.47</v>
      </c>
    </row>
    <row r="448" spans="1:7" ht="21" customHeight="1" x14ac:dyDescent="0.3">
      <c r="A448" s="3" t="s">
        <v>188</v>
      </c>
      <c r="B448" s="3" t="str">
        <f>TEXT(Table1[[#This Row],[Date]], "YYYY-mm")</f>
        <v>2024-09</v>
      </c>
      <c r="C448" s="4" t="s">
        <v>7</v>
      </c>
      <c r="D448" s="4" t="s">
        <v>8</v>
      </c>
      <c r="E448" s="4">
        <v>4</v>
      </c>
      <c r="F448" s="4">
        <v>40.700000000000003</v>
      </c>
      <c r="G448" s="9">
        <f>Table1[[#This Row],[Quantity]]*Table1[[#This Row],[Price]]</f>
        <v>162.80000000000001</v>
      </c>
    </row>
    <row r="449" spans="1:7" ht="21" customHeight="1" x14ac:dyDescent="0.3">
      <c r="A449" s="1" t="s">
        <v>218</v>
      </c>
      <c r="B449" s="1" t="str">
        <f>TEXT(Table1[[#This Row],[Date]], "YYYY-mm")</f>
        <v>2024-08</v>
      </c>
      <c r="C449" s="2" t="s">
        <v>44</v>
      </c>
      <c r="D449" s="2" t="s">
        <v>8</v>
      </c>
      <c r="E449" s="2">
        <v>7</v>
      </c>
      <c r="F449" s="2">
        <v>16.63</v>
      </c>
      <c r="G449" s="8">
        <f>Table1[[#This Row],[Quantity]]*Table1[[#This Row],[Price]]</f>
        <v>116.41</v>
      </c>
    </row>
    <row r="450" spans="1:7" ht="21" customHeight="1" x14ac:dyDescent="0.3">
      <c r="A450" s="3" t="s">
        <v>232</v>
      </c>
      <c r="B450" s="3" t="str">
        <f>TEXT(Table1[[#This Row],[Date]], "YYYY-mm")</f>
        <v>2024-10</v>
      </c>
      <c r="C450" s="4" t="s">
        <v>7</v>
      </c>
      <c r="D450" s="4" t="s">
        <v>8</v>
      </c>
      <c r="E450" s="4">
        <v>14</v>
      </c>
      <c r="F450" s="4">
        <v>31.53</v>
      </c>
      <c r="G450" s="9">
        <f>Table1[[#This Row],[Quantity]]*Table1[[#This Row],[Price]]</f>
        <v>441.42</v>
      </c>
    </row>
    <row r="451" spans="1:7" ht="21" customHeight="1" x14ac:dyDescent="0.3">
      <c r="A451" s="1" t="s">
        <v>272</v>
      </c>
      <c r="B451" s="1" t="str">
        <f>TEXT(Table1[[#This Row],[Date]], "YYYY-mm")</f>
        <v>2024-05</v>
      </c>
      <c r="C451" s="2" t="s">
        <v>39</v>
      </c>
      <c r="D451" s="2" t="s">
        <v>8</v>
      </c>
      <c r="E451" s="2">
        <v>13</v>
      </c>
      <c r="F451" s="2">
        <v>2.57</v>
      </c>
      <c r="G451" s="8">
        <f>Table1[[#This Row],[Quantity]]*Table1[[#This Row],[Price]]</f>
        <v>33.409999999999997</v>
      </c>
    </row>
    <row r="452" spans="1:7" ht="21" customHeight="1" x14ac:dyDescent="0.3">
      <c r="A452" s="3" t="s">
        <v>234</v>
      </c>
      <c r="B452" s="3" t="str">
        <f>TEXT(Table1[[#This Row],[Date]], "YYYY-mm")</f>
        <v>2024-03</v>
      </c>
      <c r="C452" s="4" t="s">
        <v>25</v>
      </c>
      <c r="D452" s="4" t="s">
        <v>19</v>
      </c>
      <c r="E452" s="4">
        <v>1</v>
      </c>
      <c r="F452" s="4">
        <v>695.69</v>
      </c>
      <c r="G452" s="9">
        <f>Table1[[#This Row],[Quantity]]*Table1[[#This Row],[Price]]</f>
        <v>695.69</v>
      </c>
    </row>
    <row r="453" spans="1:7" ht="21" customHeight="1" x14ac:dyDescent="0.3">
      <c r="A453" s="1" t="s">
        <v>250</v>
      </c>
      <c r="B453" s="1" t="str">
        <f>TEXT(Table1[[#This Row],[Date]], "YYYY-mm")</f>
        <v>2024-10</v>
      </c>
      <c r="C453" s="2" t="s">
        <v>22</v>
      </c>
      <c r="D453" s="2" t="s">
        <v>13</v>
      </c>
      <c r="E453" s="2">
        <v>13</v>
      </c>
      <c r="F453" s="2">
        <v>1649.84</v>
      </c>
      <c r="G453" s="8">
        <f>Table1[[#This Row],[Quantity]]*Table1[[#This Row],[Price]]</f>
        <v>21447.919999999998</v>
      </c>
    </row>
    <row r="454" spans="1:7" ht="21" customHeight="1" x14ac:dyDescent="0.3">
      <c r="A454" s="3" t="s">
        <v>149</v>
      </c>
      <c r="B454" s="3" t="str">
        <f>TEXT(Table1[[#This Row],[Date]], "YYYY-mm")</f>
        <v>2024-08</v>
      </c>
      <c r="C454" s="4" t="s">
        <v>18</v>
      </c>
      <c r="D454" s="4" t="s">
        <v>19</v>
      </c>
      <c r="E454" s="4">
        <v>15</v>
      </c>
      <c r="F454" s="4">
        <v>823.85</v>
      </c>
      <c r="G454" s="9">
        <f>Table1[[#This Row],[Quantity]]*Table1[[#This Row],[Price]]</f>
        <v>12357.75</v>
      </c>
    </row>
    <row r="455" spans="1:7" ht="21" customHeight="1" x14ac:dyDescent="0.3">
      <c r="A455" s="1" t="s">
        <v>136</v>
      </c>
      <c r="B455" s="1" t="str">
        <f>TEXT(Table1[[#This Row],[Date]], "YYYY-mm")</f>
        <v>2024-05</v>
      </c>
      <c r="C455" s="2" t="s">
        <v>10</v>
      </c>
      <c r="D455" s="2" t="s">
        <v>8</v>
      </c>
      <c r="E455" s="2">
        <v>11</v>
      </c>
      <c r="F455" s="2">
        <v>100.64</v>
      </c>
      <c r="G455" s="8">
        <f>Table1[[#This Row],[Quantity]]*Table1[[#This Row],[Price]]</f>
        <v>1107.04</v>
      </c>
    </row>
    <row r="456" spans="1:7" ht="21" customHeight="1" x14ac:dyDescent="0.3">
      <c r="A456" s="3" t="s">
        <v>190</v>
      </c>
      <c r="B456" s="3" t="str">
        <f>TEXT(Table1[[#This Row],[Date]], "YYYY-mm")</f>
        <v>2024-01</v>
      </c>
      <c r="C456" s="4" t="s">
        <v>34</v>
      </c>
      <c r="D456" s="4" t="s">
        <v>19</v>
      </c>
      <c r="E456" s="4">
        <v>6</v>
      </c>
      <c r="F456" s="4">
        <v>1094.8699999999999</v>
      </c>
      <c r="G456" s="9">
        <f>Table1[[#This Row],[Quantity]]*Table1[[#This Row],[Price]]</f>
        <v>6569.2199999999993</v>
      </c>
    </row>
    <row r="457" spans="1:7" ht="21" customHeight="1" x14ac:dyDescent="0.3">
      <c r="A457" s="1" t="s">
        <v>230</v>
      </c>
      <c r="B457" s="1" t="str">
        <f>TEXT(Table1[[#This Row],[Date]], "YYYY-mm")</f>
        <v>2024-04</v>
      </c>
      <c r="C457" s="2" t="s">
        <v>44</v>
      </c>
      <c r="D457" s="2" t="s">
        <v>8</v>
      </c>
      <c r="E457" s="2">
        <v>15</v>
      </c>
      <c r="F457" s="2">
        <v>6.73</v>
      </c>
      <c r="G457" s="8">
        <f>Table1[[#This Row],[Quantity]]*Table1[[#This Row],[Price]]</f>
        <v>100.95</v>
      </c>
    </row>
    <row r="458" spans="1:7" ht="21" customHeight="1" x14ac:dyDescent="0.3">
      <c r="A458" s="3" t="s">
        <v>171</v>
      </c>
      <c r="B458" s="3" t="str">
        <f>TEXT(Table1[[#This Row],[Date]], "YYYY-mm")</f>
        <v>2024-12</v>
      </c>
      <c r="C458" s="4" t="s">
        <v>12</v>
      </c>
      <c r="D458" s="4" t="s">
        <v>13</v>
      </c>
      <c r="E458" s="4">
        <v>6</v>
      </c>
      <c r="F458" s="4">
        <v>289.14999999999998</v>
      </c>
      <c r="G458" s="9">
        <f>Table1[[#This Row],[Quantity]]*Table1[[#This Row],[Price]]</f>
        <v>1734.8999999999999</v>
      </c>
    </row>
    <row r="459" spans="1:7" ht="21" customHeight="1" x14ac:dyDescent="0.3">
      <c r="A459" s="1" t="s">
        <v>226</v>
      </c>
      <c r="B459" s="1" t="str">
        <f>TEXT(Table1[[#This Row],[Date]], "YYYY-mm")</f>
        <v>2024-07</v>
      </c>
      <c r="C459" s="2" t="s">
        <v>18</v>
      </c>
      <c r="D459" s="2" t="s">
        <v>19</v>
      </c>
      <c r="E459" s="2">
        <v>15</v>
      </c>
      <c r="F459" s="2">
        <v>517.29</v>
      </c>
      <c r="G459" s="8">
        <f>Table1[[#This Row],[Quantity]]*Table1[[#This Row],[Price]]</f>
        <v>7759.3499999999995</v>
      </c>
    </row>
    <row r="460" spans="1:7" ht="21" customHeight="1" x14ac:dyDescent="0.3">
      <c r="A460" s="3" t="s">
        <v>278</v>
      </c>
      <c r="B460" s="3" t="str">
        <f>TEXT(Table1[[#This Row],[Date]], "YYYY-mm")</f>
        <v>2024-08</v>
      </c>
      <c r="C460" s="4" t="s">
        <v>7</v>
      </c>
      <c r="D460" s="4" t="s">
        <v>8</v>
      </c>
      <c r="E460" s="4">
        <v>15</v>
      </c>
      <c r="F460" s="4">
        <v>78.3</v>
      </c>
      <c r="G460" s="9">
        <f>Table1[[#This Row],[Quantity]]*Table1[[#This Row],[Price]]</f>
        <v>1174.5</v>
      </c>
    </row>
    <row r="461" spans="1:7" ht="21" customHeight="1" x14ac:dyDescent="0.3">
      <c r="A461" s="1" t="s">
        <v>279</v>
      </c>
      <c r="B461" s="1" t="str">
        <f>TEXT(Table1[[#This Row],[Date]], "YYYY-mm")</f>
        <v>2024-02</v>
      </c>
      <c r="C461" s="2" t="s">
        <v>25</v>
      </c>
      <c r="D461" s="2" t="s">
        <v>19</v>
      </c>
      <c r="E461" s="2">
        <v>6</v>
      </c>
      <c r="F461" s="2">
        <v>1142.18</v>
      </c>
      <c r="G461" s="8">
        <f>Table1[[#This Row],[Quantity]]*Table1[[#This Row],[Price]]</f>
        <v>6853.08</v>
      </c>
    </row>
    <row r="462" spans="1:7" ht="21" customHeight="1" x14ac:dyDescent="0.3">
      <c r="A462" s="3" t="s">
        <v>117</v>
      </c>
      <c r="B462" s="3" t="str">
        <f>TEXT(Table1[[#This Row],[Date]], "YYYY-mm")</f>
        <v>2024-11</v>
      </c>
      <c r="C462" s="4" t="s">
        <v>27</v>
      </c>
      <c r="D462" s="4" t="s">
        <v>8</v>
      </c>
      <c r="E462" s="4">
        <v>4</v>
      </c>
      <c r="F462" s="4">
        <v>229.95</v>
      </c>
      <c r="G462" s="9">
        <f>Table1[[#This Row],[Quantity]]*Table1[[#This Row],[Price]]</f>
        <v>919.8</v>
      </c>
    </row>
    <row r="463" spans="1:7" ht="21" customHeight="1" x14ac:dyDescent="0.3">
      <c r="A463" s="1" t="s">
        <v>265</v>
      </c>
      <c r="B463" s="1" t="str">
        <f>TEXT(Table1[[#This Row],[Date]], "YYYY-mm")</f>
        <v>2024-09</v>
      </c>
      <c r="C463" s="2" t="s">
        <v>27</v>
      </c>
      <c r="D463" s="2" t="s">
        <v>8</v>
      </c>
      <c r="E463" s="2">
        <v>12</v>
      </c>
      <c r="F463" s="2">
        <v>202</v>
      </c>
      <c r="G463" s="8">
        <f>Table1[[#This Row],[Quantity]]*Table1[[#This Row],[Price]]</f>
        <v>2424</v>
      </c>
    </row>
    <row r="464" spans="1:7" ht="21" customHeight="1" x14ac:dyDescent="0.3">
      <c r="A464" s="3" t="s">
        <v>128</v>
      </c>
      <c r="B464" s="3" t="str">
        <f>TEXT(Table1[[#This Row],[Date]], "YYYY-mm")</f>
        <v>2024-03</v>
      </c>
      <c r="C464" s="4" t="s">
        <v>25</v>
      </c>
      <c r="D464" s="4" t="s">
        <v>19</v>
      </c>
      <c r="E464" s="4">
        <v>10</v>
      </c>
      <c r="F464" s="4">
        <v>600.12</v>
      </c>
      <c r="G464" s="9">
        <f>Table1[[#This Row],[Quantity]]*Table1[[#This Row],[Price]]</f>
        <v>6001.2</v>
      </c>
    </row>
    <row r="465" spans="1:7" ht="21" customHeight="1" x14ac:dyDescent="0.3">
      <c r="A465" s="1" t="s">
        <v>72</v>
      </c>
      <c r="B465" s="1" t="str">
        <f>TEXT(Table1[[#This Row],[Date]], "YYYY-mm")</f>
        <v>2024-09</v>
      </c>
      <c r="C465" s="2" t="s">
        <v>29</v>
      </c>
      <c r="D465" s="2" t="s">
        <v>19</v>
      </c>
      <c r="E465" s="2">
        <v>2</v>
      </c>
      <c r="F465" s="2">
        <v>2213.62</v>
      </c>
      <c r="G465" s="8">
        <f>Table1[[#This Row],[Quantity]]*Table1[[#This Row],[Price]]</f>
        <v>4427.24</v>
      </c>
    </row>
    <row r="466" spans="1:7" ht="21" customHeight="1" x14ac:dyDescent="0.3">
      <c r="A466" s="3" t="s">
        <v>24</v>
      </c>
      <c r="B466" s="3" t="str">
        <f>TEXT(Table1[[#This Row],[Date]], "YYYY-mm")</f>
        <v>2024-06</v>
      </c>
      <c r="C466" s="4" t="s">
        <v>18</v>
      </c>
      <c r="D466" s="4" t="s">
        <v>19</v>
      </c>
      <c r="E466" s="4">
        <v>4</v>
      </c>
      <c r="F466" s="4">
        <v>1388.76</v>
      </c>
      <c r="G466" s="9">
        <f>Table1[[#This Row],[Quantity]]*Table1[[#This Row],[Price]]</f>
        <v>5555.04</v>
      </c>
    </row>
    <row r="467" spans="1:7" ht="21" customHeight="1" x14ac:dyDescent="0.3">
      <c r="A467" s="1" t="s">
        <v>57</v>
      </c>
      <c r="B467" s="1" t="str">
        <f>TEXT(Table1[[#This Row],[Date]], "YYYY-mm")</f>
        <v>2024-07</v>
      </c>
      <c r="C467" s="2" t="s">
        <v>44</v>
      </c>
      <c r="D467" s="2" t="s">
        <v>8</v>
      </c>
      <c r="E467" s="2">
        <v>8</v>
      </c>
      <c r="F467" s="2">
        <v>6.72</v>
      </c>
      <c r="G467" s="8">
        <f>Table1[[#This Row],[Quantity]]*Table1[[#This Row],[Price]]</f>
        <v>53.76</v>
      </c>
    </row>
    <row r="468" spans="1:7" ht="21" customHeight="1" x14ac:dyDescent="0.3">
      <c r="A468" s="3" t="s">
        <v>280</v>
      </c>
      <c r="B468" s="3" t="str">
        <f>TEXT(Table1[[#This Row],[Date]], "YYYY-mm")</f>
        <v>2024-10</v>
      </c>
      <c r="C468" s="4" t="s">
        <v>18</v>
      </c>
      <c r="D468" s="4" t="s">
        <v>19</v>
      </c>
      <c r="E468" s="4">
        <v>4</v>
      </c>
      <c r="F468" s="4">
        <v>883.3</v>
      </c>
      <c r="G468" s="9">
        <f>Table1[[#This Row],[Quantity]]*Table1[[#This Row],[Price]]</f>
        <v>3533.2</v>
      </c>
    </row>
    <row r="469" spans="1:7" ht="21" customHeight="1" x14ac:dyDescent="0.3">
      <c r="A469" s="1" t="s">
        <v>6</v>
      </c>
      <c r="B469" s="1" t="str">
        <f>TEXT(Table1[[#This Row],[Date]], "YYYY-mm")</f>
        <v>2024-09</v>
      </c>
      <c r="C469" s="2" t="s">
        <v>27</v>
      </c>
      <c r="D469" s="2" t="s">
        <v>8</v>
      </c>
      <c r="E469" s="2">
        <v>5</v>
      </c>
      <c r="F469" s="2">
        <v>89.96</v>
      </c>
      <c r="G469" s="8">
        <f>Table1[[#This Row],[Quantity]]*Table1[[#This Row],[Price]]</f>
        <v>449.79999999999995</v>
      </c>
    </row>
    <row r="470" spans="1:7" ht="21" customHeight="1" x14ac:dyDescent="0.3">
      <c r="A470" s="3" t="s">
        <v>275</v>
      </c>
      <c r="B470" s="3" t="str">
        <f>TEXT(Table1[[#This Row],[Date]], "YYYY-mm")</f>
        <v>2024-11</v>
      </c>
      <c r="C470" s="4" t="s">
        <v>44</v>
      </c>
      <c r="D470" s="4" t="s">
        <v>8</v>
      </c>
      <c r="E470" s="4">
        <v>7</v>
      </c>
      <c r="F470" s="4">
        <v>15.09</v>
      </c>
      <c r="G470" s="9">
        <f>Table1[[#This Row],[Quantity]]*Table1[[#This Row],[Price]]</f>
        <v>105.63</v>
      </c>
    </row>
    <row r="471" spans="1:7" ht="21" customHeight="1" x14ac:dyDescent="0.3">
      <c r="A471" s="1" t="s">
        <v>281</v>
      </c>
      <c r="B471" s="1" t="str">
        <f>TEXT(Table1[[#This Row],[Date]], "YYYY-mm")</f>
        <v>2024-10</v>
      </c>
      <c r="C471" s="2" t="s">
        <v>39</v>
      </c>
      <c r="D471" s="2" t="s">
        <v>8</v>
      </c>
      <c r="E471" s="2">
        <v>12</v>
      </c>
      <c r="F471" s="2">
        <v>2.56</v>
      </c>
      <c r="G471" s="8">
        <f>Table1[[#This Row],[Quantity]]*Table1[[#This Row],[Price]]</f>
        <v>30.72</v>
      </c>
    </row>
    <row r="472" spans="1:7" ht="21" customHeight="1" x14ac:dyDescent="0.3">
      <c r="A472" s="3" t="s">
        <v>225</v>
      </c>
      <c r="B472" s="3" t="str">
        <f>TEXT(Table1[[#This Row],[Date]], "YYYY-mm")</f>
        <v>2024-10</v>
      </c>
      <c r="C472" s="4" t="s">
        <v>12</v>
      </c>
      <c r="D472" s="4" t="s">
        <v>13</v>
      </c>
      <c r="E472" s="4">
        <v>3</v>
      </c>
      <c r="F472" s="4">
        <v>373.4</v>
      </c>
      <c r="G472" s="9">
        <f>Table1[[#This Row],[Quantity]]*Table1[[#This Row],[Price]]</f>
        <v>1120.1999999999998</v>
      </c>
    </row>
    <row r="473" spans="1:7" ht="21" customHeight="1" x14ac:dyDescent="0.3">
      <c r="A473" s="1" t="s">
        <v>57</v>
      </c>
      <c r="B473" s="1" t="str">
        <f>TEXT(Table1[[#This Row],[Date]], "YYYY-mm")</f>
        <v>2024-07</v>
      </c>
      <c r="C473" s="2" t="s">
        <v>10</v>
      </c>
      <c r="D473" s="2" t="s">
        <v>8</v>
      </c>
      <c r="E473" s="2">
        <v>10</v>
      </c>
      <c r="F473" s="2">
        <v>49.4</v>
      </c>
      <c r="G473" s="8">
        <f>Table1[[#This Row],[Quantity]]*Table1[[#This Row],[Price]]</f>
        <v>494</v>
      </c>
    </row>
    <row r="474" spans="1:7" ht="21" customHeight="1" x14ac:dyDescent="0.3">
      <c r="A474" s="3" t="s">
        <v>141</v>
      </c>
      <c r="B474" s="3" t="str">
        <f>TEXT(Table1[[#This Row],[Date]], "YYYY-mm")</f>
        <v>2024-12</v>
      </c>
      <c r="C474" s="4" t="s">
        <v>15</v>
      </c>
      <c r="D474" s="4" t="s">
        <v>8</v>
      </c>
      <c r="E474" s="4">
        <v>14</v>
      </c>
      <c r="F474" s="4">
        <v>7.88</v>
      </c>
      <c r="G474" s="9">
        <f>Table1[[#This Row],[Quantity]]*Table1[[#This Row],[Price]]</f>
        <v>110.32</v>
      </c>
    </row>
    <row r="475" spans="1:7" ht="21" customHeight="1" x14ac:dyDescent="0.3">
      <c r="A475" s="1" t="s">
        <v>282</v>
      </c>
      <c r="B475" s="1" t="str">
        <f>TEXT(Table1[[#This Row],[Date]], "YYYY-mm")</f>
        <v>2024-12</v>
      </c>
      <c r="C475" s="2" t="s">
        <v>34</v>
      </c>
      <c r="D475" s="2" t="s">
        <v>19</v>
      </c>
      <c r="E475" s="2">
        <v>8</v>
      </c>
      <c r="F475" s="2">
        <v>1312.19</v>
      </c>
      <c r="G475" s="8">
        <f>Table1[[#This Row],[Quantity]]*Table1[[#This Row],[Price]]</f>
        <v>10497.52</v>
      </c>
    </row>
    <row r="476" spans="1:7" ht="21" customHeight="1" x14ac:dyDescent="0.3">
      <c r="A476" s="3" t="s">
        <v>92</v>
      </c>
      <c r="B476" s="3" t="str">
        <f>TEXT(Table1[[#This Row],[Date]], "YYYY-mm")</f>
        <v>2024-12</v>
      </c>
      <c r="C476" s="4" t="s">
        <v>15</v>
      </c>
      <c r="D476" s="4" t="s">
        <v>8</v>
      </c>
      <c r="E476" s="4">
        <v>6</v>
      </c>
      <c r="F476" s="4">
        <v>4.25</v>
      </c>
      <c r="G476" s="9">
        <f>Table1[[#This Row],[Quantity]]*Table1[[#This Row],[Price]]</f>
        <v>25.5</v>
      </c>
    </row>
    <row r="477" spans="1:7" ht="21" customHeight="1" x14ac:dyDescent="0.3">
      <c r="A477" s="1" t="s">
        <v>92</v>
      </c>
      <c r="B477" s="1" t="str">
        <f>TEXT(Table1[[#This Row],[Date]], "YYYY-mm")</f>
        <v>2024-12</v>
      </c>
      <c r="C477" s="2" t="s">
        <v>10</v>
      </c>
      <c r="D477" s="2" t="s">
        <v>8</v>
      </c>
      <c r="E477" s="2">
        <v>9</v>
      </c>
      <c r="F477" s="2">
        <v>49.31</v>
      </c>
      <c r="G477" s="8">
        <f>Table1[[#This Row],[Quantity]]*Table1[[#This Row],[Price]]</f>
        <v>443.79</v>
      </c>
    </row>
    <row r="478" spans="1:7" ht="21" customHeight="1" x14ac:dyDescent="0.3">
      <c r="A478" s="3" t="s">
        <v>283</v>
      </c>
      <c r="B478" s="3" t="str">
        <f>TEXT(Table1[[#This Row],[Date]], "YYYY-mm")</f>
        <v>2024-03</v>
      </c>
      <c r="C478" s="4" t="s">
        <v>44</v>
      </c>
      <c r="D478" s="4" t="s">
        <v>8</v>
      </c>
      <c r="E478" s="4">
        <v>13</v>
      </c>
      <c r="F478" s="4">
        <v>18.579999999999998</v>
      </c>
      <c r="G478" s="9">
        <f>Table1[[#This Row],[Quantity]]*Table1[[#This Row],[Price]]</f>
        <v>241.53999999999996</v>
      </c>
    </row>
    <row r="479" spans="1:7" ht="21" customHeight="1" x14ac:dyDescent="0.3">
      <c r="A479" s="1" t="s">
        <v>100</v>
      </c>
      <c r="B479" s="1" t="str">
        <f>TEXT(Table1[[#This Row],[Date]], "YYYY-mm")</f>
        <v>2024-05</v>
      </c>
      <c r="C479" s="2" t="s">
        <v>22</v>
      </c>
      <c r="D479" s="2" t="s">
        <v>13</v>
      </c>
      <c r="E479" s="2">
        <v>6</v>
      </c>
      <c r="F479" s="2">
        <v>1739.64</v>
      </c>
      <c r="G479" s="8">
        <f>Table1[[#This Row],[Quantity]]*Table1[[#This Row],[Price]]</f>
        <v>10437.84</v>
      </c>
    </row>
    <row r="480" spans="1:7" ht="21" customHeight="1" x14ac:dyDescent="0.3">
      <c r="A480" s="3" t="s">
        <v>106</v>
      </c>
      <c r="B480" s="3" t="str">
        <f>TEXT(Table1[[#This Row],[Date]], "YYYY-mm")</f>
        <v>2024-06</v>
      </c>
      <c r="C480" s="4" t="s">
        <v>12</v>
      </c>
      <c r="D480" s="4" t="s">
        <v>13</v>
      </c>
      <c r="E480" s="4">
        <v>9</v>
      </c>
      <c r="F480" s="4">
        <v>597.79</v>
      </c>
      <c r="G480" s="9">
        <f>Table1[[#This Row],[Quantity]]*Table1[[#This Row],[Price]]</f>
        <v>5380.11</v>
      </c>
    </row>
    <row r="481" spans="1:7" ht="21" customHeight="1" x14ac:dyDescent="0.3">
      <c r="A481" s="1" t="s">
        <v>174</v>
      </c>
      <c r="B481" s="1" t="str">
        <f>TEXT(Table1[[#This Row],[Date]], "YYYY-mm")</f>
        <v>2024-10</v>
      </c>
      <c r="C481" s="2" t="s">
        <v>15</v>
      </c>
      <c r="D481" s="2" t="s">
        <v>8</v>
      </c>
      <c r="E481" s="2">
        <v>1</v>
      </c>
      <c r="F481" s="2">
        <v>7.46</v>
      </c>
      <c r="G481" s="8">
        <f>Table1[[#This Row],[Quantity]]*Table1[[#This Row],[Price]]</f>
        <v>7.46</v>
      </c>
    </row>
    <row r="482" spans="1:7" ht="21" customHeight="1" x14ac:dyDescent="0.3">
      <c r="A482" s="3" t="s">
        <v>284</v>
      </c>
      <c r="B482" s="3" t="str">
        <f>TEXT(Table1[[#This Row],[Date]], "YYYY-mm")</f>
        <v>2024-11</v>
      </c>
      <c r="C482" s="4" t="s">
        <v>34</v>
      </c>
      <c r="D482" s="4" t="s">
        <v>19</v>
      </c>
      <c r="E482" s="4">
        <v>14</v>
      </c>
      <c r="F482" s="4">
        <v>1350.42</v>
      </c>
      <c r="G482" s="9">
        <f>Table1[[#This Row],[Quantity]]*Table1[[#This Row],[Price]]</f>
        <v>18905.88</v>
      </c>
    </row>
    <row r="483" spans="1:7" ht="21" customHeight="1" x14ac:dyDescent="0.3">
      <c r="A483" s="1" t="s">
        <v>113</v>
      </c>
      <c r="B483" s="1" t="str">
        <f>TEXT(Table1[[#This Row],[Date]], "YYYY-mm")</f>
        <v>2024-05</v>
      </c>
      <c r="C483" s="2" t="s">
        <v>44</v>
      </c>
      <c r="D483" s="2" t="s">
        <v>8</v>
      </c>
      <c r="E483" s="2">
        <v>9</v>
      </c>
      <c r="F483" s="2">
        <v>6.95</v>
      </c>
      <c r="G483" s="8">
        <f>Table1[[#This Row],[Quantity]]*Table1[[#This Row],[Price]]</f>
        <v>62.550000000000004</v>
      </c>
    </row>
    <row r="484" spans="1:7" ht="21" customHeight="1" x14ac:dyDescent="0.3">
      <c r="A484" s="3" t="s">
        <v>268</v>
      </c>
      <c r="B484" s="3" t="str">
        <f>TEXT(Table1[[#This Row],[Date]], "YYYY-mm")</f>
        <v>2024-05</v>
      </c>
      <c r="C484" s="4" t="s">
        <v>22</v>
      </c>
      <c r="D484" s="4" t="s">
        <v>13</v>
      </c>
      <c r="E484" s="4">
        <v>7</v>
      </c>
      <c r="F484" s="4">
        <v>1467.45</v>
      </c>
      <c r="G484" s="9">
        <f>Table1[[#This Row],[Quantity]]*Table1[[#This Row],[Price]]</f>
        <v>10272.15</v>
      </c>
    </row>
    <row r="485" spans="1:7" ht="21" customHeight="1" x14ac:dyDescent="0.3">
      <c r="A485" s="1" t="s">
        <v>283</v>
      </c>
      <c r="B485" s="1" t="str">
        <f>TEXT(Table1[[#This Row],[Date]], "YYYY-mm")</f>
        <v>2024-03</v>
      </c>
      <c r="C485" s="2" t="s">
        <v>29</v>
      </c>
      <c r="D485" s="2" t="s">
        <v>19</v>
      </c>
      <c r="E485" s="2">
        <v>3</v>
      </c>
      <c r="F485" s="2">
        <v>1321.24</v>
      </c>
      <c r="G485" s="8">
        <f>Table1[[#This Row],[Quantity]]*Table1[[#This Row],[Price]]</f>
        <v>3963.7200000000003</v>
      </c>
    </row>
    <row r="486" spans="1:7" ht="21" customHeight="1" x14ac:dyDescent="0.3">
      <c r="A486" s="3" t="s">
        <v>190</v>
      </c>
      <c r="B486" s="3" t="str">
        <f>TEXT(Table1[[#This Row],[Date]], "YYYY-mm")</f>
        <v>2024-01</v>
      </c>
      <c r="C486" s="4" t="s">
        <v>34</v>
      </c>
      <c r="D486" s="4" t="s">
        <v>19</v>
      </c>
      <c r="E486" s="4">
        <v>9</v>
      </c>
      <c r="F486" s="4">
        <v>1009.91</v>
      </c>
      <c r="G486" s="9">
        <f>Table1[[#This Row],[Quantity]]*Table1[[#This Row],[Price]]</f>
        <v>9089.19</v>
      </c>
    </row>
    <row r="487" spans="1:7" ht="21" customHeight="1" x14ac:dyDescent="0.3">
      <c r="A487" s="1" t="s">
        <v>148</v>
      </c>
      <c r="B487" s="1" t="str">
        <f>TEXT(Table1[[#This Row],[Date]], "YYYY-mm")</f>
        <v>2024-01</v>
      </c>
      <c r="C487" s="2" t="s">
        <v>15</v>
      </c>
      <c r="D487" s="2" t="s">
        <v>8</v>
      </c>
      <c r="E487" s="2">
        <v>12</v>
      </c>
      <c r="F487" s="2">
        <v>9.0399999999999991</v>
      </c>
      <c r="G487" s="8">
        <f>Table1[[#This Row],[Quantity]]*Table1[[#This Row],[Price]]</f>
        <v>108.47999999999999</v>
      </c>
    </row>
    <row r="488" spans="1:7" ht="21" customHeight="1" x14ac:dyDescent="0.3">
      <c r="A488" s="3" t="s">
        <v>105</v>
      </c>
      <c r="B488" s="3" t="str">
        <f>TEXT(Table1[[#This Row],[Date]], "YYYY-mm")</f>
        <v>2024-12</v>
      </c>
      <c r="C488" s="4" t="s">
        <v>18</v>
      </c>
      <c r="D488" s="4" t="s">
        <v>19</v>
      </c>
      <c r="E488" s="4">
        <v>2</v>
      </c>
      <c r="F488" s="4">
        <v>1311.84</v>
      </c>
      <c r="G488" s="9">
        <f>Table1[[#This Row],[Quantity]]*Table1[[#This Row],[Price]]</f>
        <v>2623.68</v>
      </c>
    </row>
    <row r="489" spans="1:7" ht="21" customHeight="1" x14ac:dyDescent="0.3">
      <c r="A489" s="1" t="s">
        <v>226</v>
      </c>
      <c r="B489" s="1" t="str">
        <f>TEXT(Table1[[#This Row],[Date]], "YYYY-mm")</f>
        <v>2024-07</v>
      </c>
      <c r="C489" s="2" t="s">
        <v>10</v>
      </c>
      <c r="D489" s="2" t="s">
        <v>8</v>
      </c>
      <c r="E489" s="2">
        <v>7</v>
      </c>
      <c r="F489" s="2">
        <v>116.96</v>
      </c>
      <c r="G489" s="8">
        <f>Table1[[#This Row],[Quantity]]*Table1[[#This Row],[Price]]</f>
        <v>818.71999999999991</v>
      </c>
    </row>
    <row r="490" spans="1:7" ht="21" customHeight="1" x14ac:dyDescent="0.3">
      <c r="A490" s="3" t="s">
        <v>285</v>
      </c>
      <c r="B490" s="3" t="str">
        <f>TEXT(Table1[[#This Row],[Date]], "YYYY-mm")</f>
        <v>2024-07</v>
      </c>
      <c r="C490" s="4" t="s">
        <v>25</v>
      </c>
      <c r="D490" s="4" t="s">
        <v>19</v>
      </c>
      <c r="E490" s="4">
        <v>5</v>
      </c>
      <c r="F490" s="4">
        <v>723.37</v>
      </c>
      <c r="G490" s="9">
        <f>Table1[[#This Row],[Quantity]]*Table1[[#This Row],[Price]]</f>
        <v>3616.85</v>
      </c>
    </row>
    <row r="491" spans="1:7" ht="21" customHeight="1" x14ac:dyDescent="0.3">
      <c r="A491" s="1" t="s">
        <v>286</v>
      </c>
      <c r="B491" s="1" t="str">
        <f>TEXT(Table1[[#This Row],[Date]], "YYYY-mm")</f>
        <v>2024-03</v>
      </c>
      <c r="C491" s="2" t="s">
        <v>7</v>
      </c>
      <c r="D491" s="2" t="s">
        <v>8</v>
      </c>
      <c r="E491" s="2">
        <v>13</v>
      </c>
      <c r="F491" s="2">
        <v>47.57</v>
      </c>
      <c r="G491" s="8">
        <f>Table1[[#This Row],[Quantity]]*Table1[[#This Row],[Price]]</f>
        <v>618.41</v>
      </c>
    </row>
    <row r="492" spans="1:7" ht="21" customHeight="1" x14ac:dyDescent="0.3">
      <c r="A492" s="3" t="s">
        <v>193</v>
      </c>
      <c r="B492" s="3" t="str">
        <f>TEXT(Table1[[#This Row],[Date]], "YYYY-mm")</f>
        <v>2024-09</v>
      </c>
      <c r="C492" s="4" t="s">
        <v>25</v>
      </c>
      <c r="D492" s="4" t="s">
        <v>19</v>
      </c>
      <c r="E492" s="4">
        <v>1</v>
      </c>
      <c r="F492" s="4">
        <v>648.58000000000004</v>
      </c>
      <c r="G492" s="9">
        <f>Table1[[#This Row],[Quantity]]*Table1[[#This Row],[Price]]</f>
        <v>648.58000000000004</v>
      </c>
    </row>
    <row r="493" spans="1:7" ht="21" customHeight="1" x14ac:dyDescent="0.3">
      <c r="A493" s="1" t="s">
        <v>287</v>
      </c>
      <c r="B493" s="1" t="str">
        <f>TEXT(Table1[[#This Row],[Date]], "YYYY-mm")</f>
        <v>2024-07</v>
      </c>
      <c r="C493" s="2" t="s">
        <v>44</v>
      </c>
      <c r="D493" s="2" t="s">
        <v>8</v>
      </c>
      <c r="E493" s="2">
        <v>11</v>
      </c>
      <c r="F493" s="2">
        <v>18.34</v>
      </c>
      <c r="G493" s="8">
        <f>Table1[[#This Row],[Quantity]]*Table1[[#This Row],[Price]]</f>
        <v>201.74</v>
      </c>
    </row>
    <row r="494" spans="1:7" ht="21" customHeight="1" x14ac:dyDescent="0.3">
      <c r="A494" s="3" t="s">
        <v>287</v>
      </c>
      <c r="B494" s="3" t="str">
        <f>TEXT(Table1[[#This Row],[Date]], "YYYY-mm")</f>
        <v>2024-07</v>
      </c>
      <c r="C494" s="4" t="s">
        <v>22</v>
      </c>
      <c r="D494" s="4" t="s">
        <v>13</v>
      </c>
      <c r="E494" s="4">
        <v>7</v>
      </c>
      <c r="F494" s="4">
        <v>1118.3599999999999</v>
      </c>
      <c r="G494" s="9">
        <f>Table1[[#This Row],[Quantity]]*Table1[[#This Row],[Price]]</f>
        <v>7828.5199999999995</v>
      </c>
    </row>
    <row r="495" spans="1:7" ht="21" customHeight="1" x14ac:dyDescent="0.3">
      <c r="A495" s="1" t="s">
        <v>288</v>
      </c>
      <c r="B495" s="1" t="str">
        <f>TEXT(Table1[[#This Row],[Date]], "YYYY-mm")</f>
        <v>2024-04</v>
      </c>
      <c r="C495" s="2" t="s">
        <v>12</v>
      </c>
      <c r="D495" s="2" t="s">
        <v>13</v>
      </c>
      <c r="E495" s="2">
        <v>13</v>
      </c>
      <c r="F495" s="2">
        <v>164.27</v>
      </c>
      <c r="G495" s="8">
        <f>Table1[[#This Row],[Quantity]]*Table1[[#This Row],[Price]]</f>
        <v>2135.5100000000002</v>
      </c>
    </row>
    <row r="496" spans="1:7" ht="21" customHeight="1" x14ac:dyDescent="0.3">
      <c r="A496" s="3" t="s">
        <v>252</v>
      </c>
      <c r="B496" s="3" t="str">
        <f>TEXT(Table1[[#This Row],[Date]], "YYYY-mm")</f>
        <v>2024-05</v>
      </c>
      <c r="C496" s="4" t="s">
        <v>15</v>
      </c>
      <c r="D496" s="4" t="s">
        <v>8</v>
      </c>
      <c r="E496" s="4">
        <v>7</v>
      </c>
      <c r="F496" s="4">
        <v>4.8499999999999996</v>
      </c>
      <c r="G496" s="9">
        <f>Table1[[#This Row],[Quantity]]*Table1[[#This Row],[Price]]</f>
        <v>33.949999999999996</v>
      </c>
    </row>
    <row r="497" spans="1:7" ht="21" customHeight="1" x14ac:dyDescent="0.3">
      <c r="A497" s="1" t="s">
        <v>289</v>
      </c>
      <c r="B497" s="1" t="str">
        <f>TEXT(Table1[[#This Row],[Date]], "YYYY-mm")</f>
        <v>2024-06</v>
      </c>
      <c r="C497" s="2" t="s">
        <v>15</v>
      </c>
      <c r="D497" s="2" t="s">
        <v>8</v>
      </c>
      <c r="E497" s="2">
        <v>2</v>
      </c>
      <c r="F497" s="2">
        <v>4.7300000000000004</v>
      </c>
      <c r="G497" s="8">
        <f>Table1[[#This Row],[Quantity]]*Table1[[#This Row],[Price]]</f>
        <v>9.4600000000000009</v>
      </c>
    </row>
    <row r="498" spans="1:7" ht="21" customHeight="1" x14ac:dyDescent="0.3">
      <c r="A498" s="3" t="s">
        <v>38</v>
      </c>
      <c r="B498" s="3" t="str">
        <f>TEXT(Table1[[#This Row],[Date]], "YYYY-mm")</f>
        <v>2024-06</v>
      </c>
      <c r="C498" s="4" t="s">
        <v>25</v>
      </c>
      <c r="D498" s="4" t="s">
        <v>19</v>
      </c>
      <c r="E498" s="4">
        <v>12</v>
      </c>
      <c r="F498" s="4">
        <v>798.92</v>
      </c>
      <c r="G498" s="9">
        <f>Table1[[#This Row],[Quantity]]*Table1[[#This Row],[Price]]</f>
        <v>9587.0399999999991</v>
      </c>
    </row>
    <row r="499" spans="1:7" ht="21" customHeight="1" x14ac:dyDescent="0.3">
      <c r="A499" s="1" t="s">
        <v>187</v>
      </c>
      <c r="B499" s="1" t="str">
        <f>TEXT(Table1[[#This Row],[Date]], "YYYY-mm")</f>
        <v>2024-09</v>
      </c>
      <c r="C499" s="2" t="s">
        <v>12</v>
      </c>
      <c r="D499" s="2" t="s">
        <v>13</v>
      </c>
      <c r="E499" s="2">
        <v>7</v>
      </c>
      <c r="F499" s="2">
        <v>382.29</v>
      </c>
      <c r="G499" s="8">
        <f>Table1[[#This Row],[Quantity]]*Table1[[#This Row],[Price]]</f>
        <v>2676.03</v>
      </c>
    </row>
    <row r="500" spans="1:7" ht="21" customHeight="1" x14ac:dyDescent="0.3">
      <c r="A500" s="3" t="s">
        <v>290</v>
      </c>
      <c r="B500" s="3" t="str">
        <f>TEXT(Table1[[#This Row],[Date]], "YYYY-mm")</f>
        <v>2024-01</v>
      </c>
      <c r="C500" s="4" t="s">
        <v>39</v>
      </c>
      <c r="D500" s="4" t="s">
        <v>8</v>
      </c>
      <c r="E500" s="4">
        <v>2</v>
      </c>
      <c r="F500" s="4">
        <v>5.74</v>
      </c>
      <c r="G500" s="9">
        <f>Table1[[#This Row],[Quantity]]*Table1[[#This Row],[Price]]</f>
        <v>11.48</v>
      </c>
    </row>
    <row r="501" spans="1:7" ht="21" customHeight="1" x14ac:dyDescent="0.3">
      <c r="A501" s="1" t="s">
        <v>195</v>
      </c>
      <c r="B501" s="1" t="str">
        <f>TEXT(Table1[[#This Row],[Date]], "YYYY-mm")</f>
        <v>2024-12</v>
      </c>
      <c r="C501" s="2" t="s">
        <v>29</v>
      </c>
      <c r="D501" s="2" t="s">
        <v>19</v>
      </c>
      <c r="E501" s="2">
        <v>7</v>
      </c>
      <c r="F501" s="2">
        <v>1720.59</v>
      </c>
      <c r="G501" s="8">
        <f>Table1[[#This Row],[Quantity]]*Table1[[#This Row],[Price]]</f>
        <v>12044.13</v>
      </c>
    </row>
    <row r="502" spans="1:7" ht="21" customHeight="1" x14ac:dyDescent="0.3">
      <c r="A502" s="3" t="s">
        <v>248</v>
      </c>
      <c r="B502" s="3" t="str">
        <f>TEXT(Table1[[#This Row],[Date]], "YYYY-mm")</f>
        <v>2024-01</v>
      </c>
      <c r="C502" s="4" t="s">
        <v>15</v>
      </c>
      <c r="D502" s="4" t="s">
        <v>8</v>
      </c>
      <c r="E502" s="4">
        <v>15</v>
      </c>
      <c r="F502" s="4">
        <v>6.45</v>
      </c>
      <c r="G502" s="9">
        <f>Table1[[#This Row],[Quantity]]*Table1[[#This Row],[Price]]</f>
        <v>96.75</v>
      </c>
    </row>
    <row r="503" spans="1:7" ht="21" customHeight="1" x14ac:dyDescent="0.3">
      <c r="A503" s="1" t="s">
        <v>100</v>
      </c>
      <c r="B503" s="1" t="str">
        <f>TEXT(Table1[[#This Row],[Date]], "YYYY-mm")</f>
        <v>2024-05</v>
      </c>
      <c r="C503" s="2" t="s">
        <v>15</v>
      </c>
      <c r="D503" s="2" t="s">
        <v>8</v>
      </c>
      <c r="E503" s="2">
        <v>5</v>
      </c>
      <c r="F503" s="2">
        <v>4.8600000000000003</v>
      </c>
      <c r="G503" s="8">
        <f>Table1[[#This Row],[Quantity]]*Table1[[#This Row],[Price]]</f>
        <v>24.3</v>
      </c>
    </row>
    <row r="504" spans="1:7" ht="21" customHeight="1" x14ac:dyDescent="0.3">
      <c r="A504" s="3" t="s">
        <v>291</v>
      </c>
      <c r="B504" s="3" t="str">
        <f>TEXT(Table1[[#This Row],[Date]], "YYYY-mm")</f>
        <v>2024-06</v>
      </c>
      <c r="C504" s="4" t="s">
        <v>12</v>
      </c>
      <c r="D504" s="4" t="s">
        <v>13</v>
      </c>
      <c r="E504" s="4">
        <v>15</v>
      </c>
      <c r="F504" s="4">
        <v>155.37</v>
      </c>
      <c r="G504" s="9">
        <f>Table1[[#This Row],[Quantity]]*Table1[[#This Row],[Price]]</f>
        <v>2330.5500000000002</v>
      </c>
    </row>
    <row r="505" spans="1:7" ht="21" customHeight="1" x14ac:dyDescent="0.3">
      <c r="A505" s="1" t="s">
        <v>292</v>
      </c>
      <c r="B505" s="1" t="str">
        <f>TEXT(Table1[[#This Row],[Date]], "YYYY-mm")</f>
        <v>2024-06</v>
      </c>
      <c r="C505" s="2" t="s">
        <v>44</v>
      </c>
      <c r="D505" s="2" t="s">
        <v>8</v>
      </c>
      <c r="E505" s="2">
        <v>8</v>
      </c>
      <c r="F505" s="2">
        <v>12.44</v>
      </c>
      <c r="G505" s="8">
        <f>Table1[[#This Row],[Quantity]]*Table1[[#This Row],[Price]]</f>
        <v>99.52</v>
      </c>
    </row>
    <row r="506" spans="1:7" ht="21" customHeight="1" x14ac:dyDescent="0.3">
      <c r="A506" s="3" t="s">
        <v>128</v>
      </c>
      <c r="B506" s="3" t="str">
        <f>TEXT(Table1[[#This Row],[Date]], "YYYY-mm")</f>
        <v>2024-03</v>
      </c>
      <c r="C506" s="4" t="s">
        <v>39</v>
      </c>
      <c r="D506" s="4" t="s">
        <v>8</v>
      </c>
      <c r="E506" s="4">
        <v>5</v>
      </c>
      <c r="F506" s="4">
        <v>6.92</v>
      </c>
      <c r="G506" s="9">
        <f>Table1[[#This Row],[Quantity]]*Table1[[#This Row],[Price]]</f>
        <v>34.6</v>
      </c>
    </row>
    <row r="507" spans="1:7" ht="21" customHeight="1" x14ac:dyDescent="0.3">
      <c r="A507" s="1" t="s">
        <v>293</v>
      </c>
      <c r="B507" s="1" t="str">
        <f>TEXT(Table1[[#This Row],[Date]], "YYYY-mm")</f>
        <v>2024-02</v>
      </c>
      <c r="C507" s="2" t="s">
        <v>29</v>
      </c>
      <c r="D507" s="2" t="s">
        <v>19</v>
      </c>
      <c r="E507" s="2">
        <v>8</v>
      </c>
      <c r="F507" s="2">
        <v>2232.92</v>
      </c>
      <c r="G507" s="8">
        <f>Table1[[#This Row],[Quantity]]*Table1[[#This Row],[Price]]</f>
        <v>17863.36</v>
      </c>
    </row>
    <row r="508" spans="1:7" ht="21" customHeight="1" x14ac:dyDescent="0.3">
      <c r="A508" s="3" t="s">
        <v>63</v>
      </c>
      <c r="B508" s="3" t="str">
        <f>TEXT(Table1[[#This Row],[Date]], "YYYY-mm")</f>
        <v>2024-07</v>
      </c>
      <c r="C508" s="4" t="s">
        <v>15</v>
      </c>
      <c r="D508" s="4" t="s">
        <v>8</v>
      </c>
      <c r="E508" s="4">
        <v>12</v>
      </c>
      <c r="F508" s="4">
        <v>3.58</v>
      </c>
      <c r="G508" s="9">
        <f>Table1[[#This Row],[Quantity]]*Table1[[#This Row],[Price]]</f>
        <v>42.96</v>
      </c>
    </row>
    <row r="509" spans="1:7" ht="21" customHeight="1" x14ac:dyDescent="0.3">
      <c r="A509" s="1" t="s">
        <v>294</v>
      </c>
      <c r="B509" s="1" t="str">
        <f>TEXT(Table1[[#This Row],[Date]], "YYYY-mm")</f>
        <v>2024-12</v>
      </c>
      <c r="C509" s="2" t="s">
        <v>39</v>
      </c>
      <c r="D509" s="2" t="s">
        <v>8</v>
      </c>
      <c r="E509" s="2">
        <v>9</v>
      </c>
      <c r="F509" s="2">
        <v>5.2</v>
      </c>
      <c r="G509" s="8">
        <f>Table1[[#This Row],[Quantity]]*Table1[[#This Row],[Price]]</f>
        <v>46.800000000000004</v>
      </c>
    </row>
    <row r="510" spans="1:7" ht="21" customHeight="1" x14ac:dyDescent="0.3">
      <c r="A510" s="3" t="s">
        <v>167</v>
      </c>
      <c r="B510" s="3" t="str">
        <f>TEXT(Table1[[#This Row],[Date]], "YYYY-mm")</f>
        <v>2024-11</v>
      </c>
      <c r="C510" s="4" t="s">
        <v>44</v>
      </c>
      <c r="D510" s="4" t="s">
        <v>8</v>
      </c>
      <c r="E510" s="4">
        <v>13</v>
      </c>
      <c r="F510" s="4">
        <v>6.2</v>
      </c>
      <c r="G510" s="9">
        <f>Table1[[#This Row],[Quantity]]*Table1[[#This Row],[Price]]</f>
        <v>80.600000000000009</v>
      </c>
    </row>
    <row r="511" spans="1:7" ht="21" customHeight="1" x14ac:dyDescent="0.3">
      <c r="A511" s="1" t="s">
        <v>268</v>
      </c>
      <c r="B511" s="1" t="str">
        <f>TEXT(Table1[[#This Row],[Date]], "YYYY-mm")</f>
        <v>2024-05</v>
      </c>
      <c r="C511" s="2" t="s">
        <v>18</v>
      </c>
      <c r="D511" s="2" t="s">
        <v>19</v>
      </c>
      <c r="E511" s="2">
        <v>9</v>
      </c>
      <c r="F511" s="2">
        <v>942.5</v>
      </c>
      <c r="G511" s="8">
        <f>Table1[[#This Row],[Quantity]]*Table1[[#This Row],[Price]]</f>
        <v>8482.5</v>
      </c>
    </row>
    <row r="512" spans="1:7" ht="21" customHeight="1" x14ac:dyDescent="0.3">
      <c r="A512" s="3" t="s">
        <v>38</v>
      </c>
      <c r="B512" s="3" t="str">
        <f>TEXT(Table1[[#This Row],[Date]], "YYYY-mm")</f>
        <v>2024-06</v>
      </c>
      <c r="C512" s="4" t="s">
        <v>10</v>
      </c>
      <c r="D512" s="4" t="s">
        <v>8</v>
      </c>
      <c r="E512" s="4">
        <v>7</v>
      </c>
      <c r="F512" s="4">
        <v>108.96</v>
      </c>
      <c r="G512" s="9">
        <f>Table1[[#This Row],[Quantity]]*Table1[[#This Row],[Price]]</f>
        <v>762.71999999999991</v>
      </c>
    </row>
    <row r="513" spans="1:7" ht="21" customHeight="1" x14ac:dyDescent="0.3">
      <c r="A513" s="1" t="s">
        <v>111</v>
      </c>
      <c r="B513" s="1" t="str">
        <f>TEXT(Table1[[#This Row],[Date]], "YYYY-mm")</f>
        <v>2024-11</v>
      </c>
      <c r="C513" s="2" t="s">
        <v>18</v>
      </c>
      <c r="D513" s="2" t="s">
        <v>19</v>
      </c>
      <c r="E513" s="2">
        <v>15</v>
      </c>
      <c r="F513" s="2">
        <v>745.19</v>
      </c>
      <c r="G513" s="8">
        <f>Table1[[#This Row],[Quantity]]*Table1[[#This Row],[Price]]</f>
        <v>11177.85</v>
      </c>
    </row>
    <row r="514" spans="1:7" ht="21" customHeight="1" x14ac:dyDescent="0.3">
      <c r="A514" s="3" t="s">
        <v>126</v>
      </c>
      <c r="B514" s="3" t="str">
        <f>TEXT(Table1[[#This Row],[Date]], "YYYY-mm")</f>
        <v>2024-04</v>
      </c>
      <c r="C514" s="4" t="s">
        <v>10</v>
      </c>
      <c r="D514" s="4" t="s">
        <v>8</v>
      </c>
      <c r="E514" s="4">
        <v>4</v>
      </c>
      <c r="F514" s="4">
        <v>79.31</v>
      </c>
      <c r="G514" s="9">
        <f>Table1[[#This Row],[Quantity]]*Table1[[#This Row],[Price]]</f>
        <v>317.24</v>
      </c>
    </row>
    <row r="515" spans="1:7" ht="21" customHeight="1" x14ac:dyDescent="0.3">
      <c r="A515" s="1" t="s">
        <v>295</v>
      </c>
      <c r="B515" s="1" t="str">
        <f>TEXT(Table1[[#This Row],[Date]], "YYYY-mm")</f>
        <v>2024-09</v>
      </c>
      <c r="C515" s="2" t="s">
        <v>22</v>
      </c>
      <c r="D515" s="2" t="s">
        <v>13</v>
      </c>
      <c r="E515" s="2">
        <v>3</v>
      </c>
      <c r="F515" s="2">
        <v>1495.02</v>
      </c>
      <c r="G515" s="8">
        <f>Table1[[#This Row],[Quantity]]*Table1[[#This Row],[Price]]</f>
        <v>4485.0599999999995</v>
      </c>
    </row>
    <row r="516" spans="1:7" ht="21" customHeight="1" x14ac:dyDescent="0.3">
      <c r="A516" s="3" t="s">
        <v>172</v>
      </c>
      <c r="B516" s="3" t="str">
        <f>TEXT(Table1[[#This Row],[Date]], "YYYY-mm")</f>
        <v>2024-09</v>
      </c>
      <c r="C516" s="4" t="s">
        <v>29</v>
      </c>
      <c r="D516" s="4" t="s">
        <v>19</v>
      </c>
      <c r="E516" s="4">
        <v>6</v>
      </c>
      <c r="F516" s="4">
        <v>1260.1099999999999</v>
      </c>
      <c r="G516" s="9">
        <f>Table1[[#This Row],[Quantity]]*Table1[[#This Row],[Price]]</f>
        <v>7560.66</v>
      </c>
    </row>
    <row r="517" spans="1:7" ht="21" customHeight="1" x14ac:dyDescent="0.3">
      <c r="A517" s="1" t="s">
        <v>255</v>
      </c>
      <c r="B517" s="1" t="str">
        <f>TEXT(Table1[[#This Row],[Date]], "YYYY-mm")</f>
        <v>2024-09</v>
      </c>
      <c r="C517" s="2" t="s">
        <v>25</v>
      </c>
      <c r="D517" s="2" t="s">
        <v>19</v>
      </c>
      <c r="E517" s="2">
        <v>4</v>
      </c>
      <c r="F517" s="2">
        <v>952.24</v>
      </c>
      <c r="G517" s="8">
        <f>Table1[[#This Row],[Quantity]]*Table1[[#This Row],[Price]]</f>
        <v>3808.96</v>
      </c>
    </row>
    <row r="518" spans="1:7" ht="21" customHeight="1" x14ac:dyDescent="0.3">
      <c r="A518" s="3" t="s">
        <v>296</v>
      </c>
      <c r="B518" s="3" t="str">
        <f>TEXT(Table1[[#This Row],[Date]], "YYYY-mm")</f>
        <v>2024-07</v>
      </c>
      <c r="C518" s="4" t="s">
        <v>10</v>
      </c>
      <c r="D518" s="4" t="s">
        <v>8</v>
      </c>
      <c r="E518" s="4">
        <v>14</v>
      </c>
      <c r="F518" s="4">
        <v>108.43</v>
      </c>
      <c r="G518" s="9">
        <f>Table1[[#This Row],[Quantity]]*Table1[[#This Row],[Price]]</f>
        <v>1518.02</v>
      </c>
    </row>
    <row r="519" spans="1:7" ht="21" customHeight="1" x14ac:dyDescent="0.3">
      <c r="A519" s="1" t="s">
        <v>201</v>
      </c>
      <c r="B519" s="1" t="str">
        <f>TEXT(Table1[[#This Row],[Date]], "YYYY-mm")</f>
        <v>2024-10</v>
      </c>
      <c r="C519" s="2" t="s">
        <v>15</v>
      </c>
      <c r="D519" s="2" t="s">
        <v>8</v>
      </c>
      <c r="E519" s="2">
        <v>10</v>
      </c>
      <c r="F519" s="2">
        <v>7.33</v>
      </c>
      <c r="G519" s="8">
        <f>Table1[[#This Row],[Quantity]]*Table1[[#This Row],[Price]]</f>
        <v>73.3</v>
      </c>
    </row>
    <row r="520" spans="1:7" ht="21" customHeight="1" x14ac:dyDescent="0.3">
      <c r="A520" s="3" t="s">
        <v>234</v>
      </c>
      <c r="B520" s="3" t="str">
        <f>TEXT(Table1[[#This Row],[Date]], "YYYY-mm")</f>
        <v>2024-03</v>
      </c>
      <c r="C520" s="4" t="s">
        <v>18</v>
      </c>
      <c r="D520" s="4" t="s">
        <v>19</v>
      </c>
      <c r="E520" s="4">
        <v>3</v>
      </c>
      <c r="F520" s="4">
        <v>1058.33</v>
      </c>
      <c r="G520" s="9">
        <f>Table1[[#This Row],[Quantity]]*Table1[[#This Row],[Price]]</f>
        <v>3174.99</v>
      </c>
    </row>
    <row r="521" spans="1:7" ht="21" customHeight="1" x14ac:dyDescent="0.3">
      <c r="A521" s="1" t="s">
        <v>297</v>
      </c>
      <c r="B521" s="1" t="str">
        <f>TEXT(Table1[[#This Row],[Date]], "YYYY-mm")</f>
        <v>2024-12</v>
      </c>
      <c r="C521" s="2" t="s">
        <v>27</v>
      </c>
      <c r="D521" s="2" t="s">
        <v>8</v>
      </c>
      <c r="E521" s="2">
        <v>4</v>
      </c>
      <c r="F521" s="2">
        <v>244.5</v>
      </c>
      <c r="G521" s="8">
        <f>Table1[[#This Row],[Quantity]]*Table1[[#This Row],[Price]]</f>
        <v>978</v>
      </c>
    </row>
    <row r="522" spans="1:7" ht="21" customHeight="1" x14ac:dyDescent="0.3">
      <c r="A522" s="3" t="s">
        <v>182</v>
      </c>
      <c r="B522" s="3" t="str">
        <f>TEXT(Table1[[#This Row],[Date]], "YYYY-mm")</f>
        <v>2024-12</v>
      </c>
      <c r="C522" s="4" t="s">
        <v>27</v>
      </c>
      <c r="D522" s="4" t="s">
        <v>8</v>
      </c>
      <c r="E522" s="4">
        <v>13</v>
      </c>
      <c r="F522" s="4">
        <v>85.31</v>
      </c>
      <c r="G522" s="9">
        <f>Table1[[#This Row],[Quantity]]*Table1[[#This Row],[Price]]</f>
        <v>1109.03</v>
      </c>
    </row>
    <row r="523" spans="1:7" ht="21" customHeight="1" x14ac:dyDescent="0.3">
      <c r="A523" s="1" t="s">
        <v>113</v>
      </c>
      <c r="B523" s="1" t="str">
        <f>TEXT(Table1[[#This Row],[Date]], "YYYY-mm")</f>
        <v>2024-05</v>
      </c>
      <c r="C523" s="2" t="s">
        <v>15</v>
      </c>
      <c r="D523" s="2" t="s">
        <v>8</v>
      </c>
      <c r="E523" s="2">
        <v>14</v>
      </c>
      <c r="F523" s="2">
        <v>5.55</v>
      </c>
      <c r="G523" s="8">
        <f>Table1[[#This Row],[Quantity]]*Table1[[#This Row],[Price]]</f>
        <v>77.7</v>
      </c>
    </row>
    <row r="524" spans="1:7" ht="21" customHeight="1" x14ac:dyDescent="0.3">
      <c r="A524" s="3" t="s">
        <v>298</v>
      </c>
      <c r="B524" s="3" t="str">
        <f>TEXT(Table1[[#This Row],[Date]], "YYYY-mm")</f>
        <v>2024-09</v>
      </c>
      <c r="C524" s="4" t="s">
        <v>27</v>
      </c>
      <c r="D524" s="4" t="s">
        <v>8</v>
      </c>
      <c r="E524" s="4">
        <v>13</v>
      </c>
      <c r="F524" s="4">
        <v>106.24</v>
      </c>
      <c r="G524" s="9">
        <f>Table1[[#This Row],[Quantity]]*Table1[[#This Row],[Price]]</f>
        <v>1381.12</v>
      </c>
    </row>
    <row r="525" spans="1:7" ht="21" customHeight="1" x14ac:dyDescent="0.3">
      <c r="A525" s="1" t="s">
        <v>250</v>
      </c>
      <c r="B525" s="1" t="str">
        <f>TEXT(Table1[[#This Row],[Date]], "YYYY-mm")</f>
        <v>2024-10</v>
      </c>
      <c r="C525" s="2" t="s">
        <v>22</v>
      </c>
      <c r="D525" s="2" t="s">
        <v>13</v>
      </c>
      <c r="E525" s="2">
        <v>5</v>
      </c>
      <c r="F525" s="2">
        <v>1179.53</v>
      </c>
      <c r="G525" s="8">
        <f>Table1[[#This Row],[Quantity]]*Table1[[#This Row],[Price]]</f>
        <v>5897.65</v>
      </c>
    </row>
    <row r="526" spans="1:7" ht="21" customHeight="1" x14ac:dyDescent="0.3">
      <c r="A526" s="3" t="s">
        <v>299</v>
      </c>
      <c r="B526" s="3" t="str">
        <f>TEXT(Table1[[#This Row],[Date]], "YYYY-mm")</f>
        <v>2024-11</v>
      </c>
      <c r="C526" s="4" t="s">
        <v>34</v>
      </c>
      <c r="D526" s="4" t="s">
        <v>19</v>
      </c>
      <c r="E526" s="4">
        <v>4</v>
      </c>
      <c r="F526" s="4">
        <v>795.21</v>
      </c>
      <c r="G526" s="9">
        <f>Table1[[#This Row],[Quantity]]*Table1[[#This Row],[Price]]</f>
        <v>3180.84</v>
      </c>
    </row>
    <row r="527" spans="1:7" ht="21" customHeight="1" x14ac:dyDescent="0.3">
      <c r="A527" s="1" t="s">
        <v>66</v>
      </c>
      <c r="B527" s="1" t="str">
        <f>TEXT(Table1[[#This Row],[Date]], "YYYY-mm")</f>
        <v>2024-02</v>
      </c>
      <c r="C527" s="2" t="s">
        <v>12</v>
      </c>
      <c r="D527" s="2" t="s">
        <v>13</v>
      </c>
      <c r="E527" s="2">
        <v>4</v>
      </c>
      <c r="F527" s="2">
        <v>473.73</v>
      </c>
      <c r="G527" s="8">
        <f>Table1[[#This Row],[Quantity]]*Table1[[#This Row],[Price]]</f>
        <v>1894.92</v>
      </c>
    </row>
    <row r="528" spans="1:7" ht="21" customHeight="1" x14ac:dyDescent="0.3">
      <c r="A528" s="3" t="s">
        <v>300</v>
      </c>
      <c r="B528" s="3" t="str">
        <f>TEXT(Table1[[#This Row],[Date]], "YYYY-mm")</f>
        <v>2024-04</v>
      </c>
      <c r="C528" s="4" t="s">
        <v>34</v>
      </c>
      <c r="D528" s="4" t="s">
        <v>19</v>
      </c>
      <c r="E528" s="4">
        <v>11</v>
      </c>
      <c r="F528" s="4">
        <v>1271.6099999999999</v>
      </c>
      <c r="G528" s="9">
        <f>Table1[[#This Row],[Quantity]]*Table1[[#This Row],[Price]]</f>
        <v>13987.71</v>
      </c>
    </row>
    <row r="529" spans="1:7" ht="21" customHeight="1" x14ac:dyDescent="0.3">
      <c r="A529" s="1" t="s">
        <v>92</v>
      </c>
      <c r="B529" s="1" t="str">
        <f>TEXT(Table1[[#This Row],[Date]], "YYYY-mm")</f>
        <v>2024-12</v>
      </c>
      <c r="C529" s="2" t="s">
        <v>22</v>
      </c>
      <c r="D529" s="2" t="s">
        <v>13</v>
      </c>
      <c r="E529" s="2">
        <v>2</v>
      </c>
      <c r="F529" s="2">
        <v>1457.37</v>
      </c>
      <c r="G529" s="8">
        <f>Table1[[#This Row],[Quantity]]*Table1[[#This Row],[Price]]</f>
        <v>2914.74</v>
      </c>
    </row>
    <row r="530" spans="1:7" ht="21" customHeight="1" x14ac:dyDescent="0.3">
      <c r="A530" s="3" t="s">
        <v>102</v>
      </c>
      <c r="B530" s="3" t="str">
        <f>TEXT(Table1[[#This Row],[Date]], "YYYY-mm")</f>
        <v>2024-04</v>
      </c>
      <c r="C530" s="4" t="s">
        <v>25</v>
      </c>
      <c r="D530" s="4" t="s">
        <v>19</v>
      </c>
      <c r="E530" s="4">
        <v>6</v>
      </c>
      <c r="F530" s="4">
        <v>880.3</v>
      </c>
      <c r="G530" s="9">
        <f>Table1[[#This Row],[Quantity]]*Table1[[#This Row],[Price]]</f>
        <v>5281.7999999999993</v>
      </c>
    </row>
    <row r="531" spans="1:7" ht="21" customHeight="1" x14ac:dyDescent="0.3">
      <c r="A531" s="1" t="s">
        <v>214</v>
      </c>
      <c r="B531" s="1" t="str">
        <f>TEXT(Table1[[#This Row],[Date]], "YYYY-mm")</f>
        <v>2024-01</v>
      </c>
      <c r="C531" s="2" t="s">
        <v>22</v>
      </c>
      <c r="D531" s="2" t="s">
        <v>13</v>
      </c>
      <c r="E531" s="2">
        <v>11</v>
      </c>
      <c r="F531" s="2">
        <v>1231.3499999999999</v>
      </c>
      <c r="G531" s="8">
        <f>Table1[[#This Row],[Quantity]]*Table1[[#This Row],[Price]]</f>
        <v>13544.849999999999</v>
      </c>
    </row>
    <row r="532" spans="1:7" ht="21" customHeight="1" x14ac:dyDescent="0.3">
      <c r="A532" s="3" t="s">
        <v>78</v>
      </c>
      <c r="B532" s="3" t="str">
        <f>TEXT(Table1[[#This Row],[Date]], "YYYY-mm")</f>
        <v>2024-04</v>
      </c>
      <c r="C532" s="4" t="s">
        <v>27</v>
      </c>
      <c r="D532" s="4" t="s">
        <v>8</v>
      </c>
      <c r="E532" s="4">
        <v>8</v>
      </c>
      <c r="F532" s="4">
        <v>180.44</v>
      </c>
      <c r="G532" s="9">
        <f>Table1[[#This Row],[Quantity]]*Table1[[#This Row],[Price]]</f>
        <v>1443.52</v>
      </c>
    </row>
    <row r="533" spans="1:7" ht="21" customHeight="1" x14ac:dyDescent="0.3">
      <c r="A533" s="1" t="s">
        <v>219</v>
      </c>
      <c r="B533" s="1" t="str">
        <f>TEXT(Table1[[#This Row],[Date]], "YYYY-mm")</f>
        <v>2024-04</v>
      </c>
      <c r="C533" s="2" t="s">
        <v>39</v>
      </c>
      <c r="D533" s="2" t="s">
        <v>8</v>
      </c>
      <c r="E533" s="2">
        <v>6</v>
      </c>
      <c r="F533" s="2">
        <v>7.9</v>
      </c>
      <c r="G533" s="8">
        <f>Table1[[#This Row],[Quantity]]*Table1[[#This Row],[Price]]</f>
        <v>47.400000000000006</v>
      </c>
    </row>
    <row r="534" spans="1:7" ht="21" customHeight="1" x14ac:dyDescent="0.3">
      <c r="A534" s="3" t="s">
        <v>229</v>
      </c>
      <c r="B534" s="3" t="str">
        <f>TEXT(Table1[[#This Row],[Date]], "YYYY-mm")</f>
        <v>2024-05</v>
      </c>
      <c r="C534" s="4" t="s">
        <v>18</v>
      </c>
      <c r="D534" s="4" t="s">
        <v>19</v>
      </c>
      <c r="E534" s="4">
        <v>1</v>
      </c>
      <c r="F534" s="4">
        <v>1030.2</v>
      </c>
      <c r="G534" s="9">
        <f>Table1[[#This Row],[Quantity]]*Table1[[#This Row],[Price]]</f>
        <v>1030.2</v>
      </c>
    </row>
    <row r="535" spans="1:7" ht="21" customHeight="1" x14ac:dyDescent="0.3">
      <c r="A535" s="1" t="s">
        <v>153</v>
      </c>
      <c r="B535" s="1" t="str">
        <f>TEXT(Table1[[#This Row],[Date]], "YYYY-mm")</f>
        <v>2024-07</v>
      </c>
      <c r="C535" s="2" t="s">
        <v>18</v>
      </c>
      <c r="D535" s="2" t="s">
        <v>19</v>
      </c>
      <c r="E535" s="2">
        <v>3</v>
      </c>
      <c r="F535" s="2">
        <v>573.39</v>
      </c>
      <c r="G535" s="8">
        <f>Table1[[#This Row],[Quantity]]*Table1[[#This Row],[Price]]</f>
        <v>1720.17</v>
      </c>
    </row>
    <row r="536" spans="1:7" ht="21" customHeight="1" x14ac:dyDescent="0.3">
      <c r="A536" s="3" t="s">
        <v>262</v>
      </c>
      <c r="B536" s="3" t="str">
        <f>TEXT(Table1[[#This Row],[Date]], "YYYY-mm")</f>
        <v>2024-11</v>
      </c>
      <c r="C536" s="4" t="s">
        <v>12</v>
      </c>
      <c r="D536" s="4" t="s">
        <v>13</v>
      </c>
      <c r="E536" s="4">
        <v>12</v>
      </c>
      <c r="F536" s="4">
        <v>498.11</v>
      </c>
      <c r="G536" s="9">
        <f>Table1[[#This Row],[Quantity]]*Table1[[#This Row],[Price]]</f>
        <v>5977.32</v>
      </c>
    </row>
    <row r="537" spans="1:7" ht="21" customHeight="1" x14ac:dyDescent="0.3">
      <c r="A537" s="1" t="s">
        <v>301</v>
      </c>
      <c r="B537" s="1" t="str">
        <f>TEXT(Table1[[#This Row],[Date]], "YYYY-mm")</f>
        <v>2024-07</v>
      </c>
      <c r="C537" s="2" t="s">
        <v>22</v>
      </c>
      <c r="D537" s="2" t="s">
        <v>13</v>
      </c>
      <c r="E537" s="2">
        <v>7</v>
      </c>
      <c r="F537" s="2">
        <v>761.7</v>
      </c>
      <c r="G537" s="8">
        <f>Table1[[#This Row],[Quantity]]*Table1[[#This Row],[Price]]</f>
        <v>5331.9000000000005</v>
      </c>
    </row>
    <row r="538" spans="1:7" ht="21" customHeight="1" x14ac:dyDescent="0.3">
      <c r="A538" s="3" t="s">
        <v>302</v>
      </c>
      <c r="B538" s="3" t="str">
        <f>TEXT(Table1[[#This Row],[Date]], "YYYY-mm")</f>
        <v>2024-04</v>
      </c>
      <c r="C538" s="4" t="s">
        <v>10</v>
      </c>
      <c r="D538" s="4" t="s">
        <v>8</v>
      </c>
      <c r="E538" s="4">
        <v>8</v>
      </c>
      <c r="F538" s="4">
        <v>115.03</v>
      </c>
      <c r="G538" s="9">
        <f>Table1[[#This Row],[Quantity]]*Table1[[#This Row],[Price]]</f>
        <v>920.24</v>
      </c>
    </row>
    <row r="539" spans="1:7" ht="21" customHeight="1" x14ac:dyDescent="0.3">
      <c r="A539" s="1" t="s">
        <v>254</v>
      </c>
      <c r="B539" s="1" t="str">
        <f>TEXT(Table1[[#This Row],[Date]], "YYYY-mm")</f>
        <v>2024-09</v>
      </c>
      <c r="C539" s="2" t="s">
        <v>29</v>
      </c>
      <c r="D539" s="2" t="s">
        <v>19</v>
      </c>
      <c r="E539" s="2">
        <v>13</v>
      </c>
      <c r="F539" s="2">
        <v>1390.88</v>
      </c>
      <c r="G539" s="8">
        <f>Table1[[#This Row],[Quantity]]*Table1[[#This Row],[Price]]</f>
        <v>18081.440000000002</v>
      </c>
    </row>
    <row r="540" spans="1:7" ht="21" customHeight="1" x14ac:dyDescent="0.3">
      <c r="A540" s="3" t="s">
        <v>173</v>
      </c>
      <c r="B540" s="3" t="str">
        <f>TEXT(Table1[[#This Row],[Date]], "YYYY-mm")</f>
        <v>2024-03</v>
      </c>
      <c r="C540" s="4" t="s">
        <v>39</v>
      </c>
      <c r="D540" s="4" t="s">
        <v>8</v>
      </c>
      <c r="E540" s="4">
        <v>4</v>
      </c>
      <c r="F540" s="4">
        <v>7.33</v>
      </c>
      <c r="G540" s="9">
        <f>Table1[[#This Row],[Quantity]]*Table1[[#This Row],[Price]]</f>
        <v>29.32</v>
      </c>
    </row>
    <row r="541" spans="1:7" ht="21" customHeight="1" x14ac:dyDescent="0.3">
      <c r="A541" s="1" t="s">
        <v>303</v>
      </c>
      <c r="B541" s="1" t="str">
        <f>TEXT(Table1[[#This Row],[Date]], "YYYY-mm")</f>
        <v>2024-01</v>
      </c>
      <c r="C541" s="2" t="s">
        <v>25</v>
      </c>
      <c r="D541" s="2" t="s">
        <v>19</v>
      </c>
      <c r="E541" s="2">
        <v>4</v>
      </c>
      <c r="F541" s="2">
        <v>1045.03</v>
      </c>
      <c r="G541" s="8">
        <f>Table1[[#This Row],[Quantity]]*Table1[[#This Row],[Price]]</f>
        <v>4180.12</v>
      </c>
    </row>
    <row r="542" spans="1:7" ht="21" customHeight="1" x14ac:dyDescent="0.3">
      <c r="A542" s="3" t="s">
        <v>304</v>
      </c>
      <c r="B542" s="3" t="str">
        <f>TEXT(Table1[[#This Row],[Date]], "YYYY-mm")</f>
        <v>2024-12</v>
      </c>
      <c r="C542" s="4" t="s">
        <v>12</v>
      </c>
      <c r="D542" s="4" t="s">
        <v>13</v>
      </c>
      <c r="E542" s="4">
        <v>11</v>
      </c>
      <c r="F542" s="4">
        <v>533.66999999999996</v>
      </c>
      <c r="G542" s="9">
        <f>Table1[[#This Row],[Quantity]]*Table1[[#This Row],[Price]]</f>
        <v>5870.37</v>
      </c>
    </row>
    <row r="543" spans="1:7" ht="21" customHeight="1" x14ac:dyDescent="0.3">
      <c r="A543" s="1" t="s">
        <v>143</v>
      </c>
      <c r="B543" s="1" t="str">
        <f>TEXT(Table1[[#This Row],[Date]], "YYYY-mm")</f>
        <v>2024-11</v>
      </c>
      <c r="C543" s="2" t="s">
        <v>22</v>
      </c>
      <c r="D543" s="2" t="s">
        <v>13</v>
      </c>
      <c r="E543" s="2">
        <v>12</v>
      </c>
      <c r="F543" s="2">
        <v>1574.63</v>
      </c>
      <c r="G543" s="8">
        <f>Table1[[#This Row],[Quantity]]*Table1[[#This Row],[Price]]</f>
        <v>18895.560000000001</v>
      </c>
    </row>
    <row r="544" spans="1:7" ht="21" customHeight="1" x14ac:dyDescent="0.3">
      <c r="A544" s="3" t="s">
        <v>90</v>
      </c>
      <c r="B544" s="3" t="str">
        <f>TEXT(Table1[[#This Row],[Date]], "YYYY-mm")</f>
        <v>2024-07</v>
      </c>
      <c r="C544" s="4" t="s">
        <v>27</v>
      </c>
      <c r="D544" s="4" t="s">
        <v>8</v>
      </c>
      <c r="E544" s="4">
        <v>5</v>
      </c>
      <c r="F544" s="4">
        <v>82.38</v>
      </c>
      <c r="G544" s="9">
        <f>Table1[[#This Row],[Quantity]]*Table1[[#This Row],[Price]]</f>
        <v>411.9</v>
      </c>
    </row>
    <row r="545" spans="1:7" ht="21" customHeight="1" x14ac:dyDescent="0.3">
      <c r="A545" s="1" t="s">
        <v>114</v>
      </c>
      <c r="B545" s="1" t="str">
        <f>TEXT(Table1[[#This Row],[Date]], "YYYY-mm")</f>
        <v>2024-07</v>
      </c>
      <c r="C545" s="2" t="s">
        <v>22</v>
      </c>
      <c r="D545" s="2" t="s">
        <v>13</v>
      </c>
      <c r="E545" s="2">
        <v>12</v>
      </c>
      <c r="F545" s="2">
        <v>1471.08</v>
      </c>
      <c r="G545" s="8">
        <f>Table1[[#This Row],[Quantity]]*Table1[[#This Row],[Price]]</f>
        <v>17652.96</v>
      </c>
    </row>
    <row r="546" spans="1:7" ht="21" customHeight="1" x14ac:dyDescent="0.3">
      <c r="A546" s="3" t="s">
        <v>102</v>
      </c>
      <c r="B546" s="3" t="str">
        <f>TEXT(Table1[[#This Row],[Date]], "YYYY-mm")</f>
        <v>2024-04</v>
      </c>
      <c r="C546" s="4" t="s">
        <v>27</v>
      </c>
      <c r="D546" s="4" t="s">
        <v>8</v>
      </c>
      <c r="E546" s="4">
        <v>12</v>
      </c>
      <c r="F546" s="4">
        <v>102.15</v>
      </c>
      <c r="G546" s="9">
        <f>Table1[[#This Row],[Quantity]]*Table1[[#This Row],[Price]]</f>
        <v>1225.8000000000002</v>
      </c>
    </row>
    <row r="547" spans="1:7" ht="21" customHeight="1" x14ac:dyDescent="0.3">
      <c r="A547" s="1" t="s">
        <v>55</v>
      </c>
      <c r="B547" s="1" t="str">
        <f>TEXT(Table1[[#This Row],[Date]], "YYYY-mm")</f>
        <v>2024-12</v>
      </c>
      <c r="C547" s="2" t="s">
        <v>44</v>
      </c>
      <c r="D547" s="2" t="s">
        <v>8</v>
      </c>
      <c r="E547" s="2">
        <v>5</v>
      </c>
      <c r="F547" s="2">
        <v>6.28</v>
      </c>
      <c r="G547" s="8">
        <f>Table1[[#This Row],[Quantity]]*Table1[[#This Row],[Price]]</f>
        <v>31.400000000000002</v>
      </c>
    </row>
    <row r="548" spans="1:7" ht="21" customHeight="1" x14ac:dyDescent="0.3">
      <c r="A548" s="3" t="s">
        <v>247</v>
      </c>
      <c r="B548" s="3" t="str">
        <f>TEXT(Table1[[#This Row],[Date]], "YYYY-mm")</f>
        <v>2024-03</v>
      </c>
      <c r="C548" s="4" t="s">
        <v>22</v>
      </c>
      <c r="D548" s="4" t="s">
        <v>13</v>
      </c>
      <c r="E548" s="4">
        <v>1</v>
      </c>
      <c r="F548" s="4">
        <v>937.33</v>
      </c>
      <c r="G548" s="9">
        <f>Table1[[#This Row],[Quantity]]*Table1[[#This Row],[Price]]</f>
        <v>937.33</v>
      </c>
    </row>
    <row r="549" spans="1:7" ht="21" customHeight="1" x14ac:dyDescent="0.3">
      <c r="A549" s="1" t="s">
        <v>17</v>
      </c>
      <c r="B549" s="1" t="str">
        <f>TEXT(Table1[[#This Row],[Date]], "YYYY-mm")</f>
        <v>2024-10</v>
      </c>
      <c r="C549" s="2" t="s">
        <v>15</v>
      </c>
      <c r="D549" s="2" t="s">
        <v>8</v>
      </c>
      <c r="E549" s="2">
        <v>11</v>
      </c>
      <c r="F549" s="2">
        <v>4.93</v>
      </c>
      <c r="G549" s="8">
        <f>Table1[[#This Row],[Quantity]]*Table1[[#This Row],[Price]]</f>
        <v>54.23</v>
      </c>
    </row>
    <row r="550" spans="1:7" ht="21" customHeight="1" x14ac:dyDescent="0.3">
      <c r="A550" s="3" t="s">
        <v>90</v>
      </c>
      <c r="B550" s="3" t="str">
        <f>TEXT(Table1[[#This Row],[Date]], "YYYY-mm")</f>
        <v>2024-07</v>
      </c>
      <c r="C550" s="4" t="s">
        <v>18</v>
      </c>
      <c r="D550" s="4" t="s">
        <v>19</v>
      </c>
      <c r="E550" s="4">
        <v>7</v>
      </c>
      <c r="F550" s="4">
        <v>909.07</v>
      </c>
      <c r="G550" s="9">
        <f>Table1[[#This Row],[Quantity]]*Table1[[#This Row],[Price]]</f>
        <v>6363.4900000000007</v>
      </c>
    </row>
    <row r="551" spans="1:7" ht="21" customHeight="1" x14ac:dyDescent="0.3">
      <c r="A551" s="1" t="s">
        <v>241</v>
      </c>
      <c r="B551" s="1" t="str">
        <f>TEXT(Table1[[#This Row],[Date]], "YYYY-mm")</f>
        <v>2024-05</v>
      </c>
      <c r="C551" s="2" t="s">
        <v>27</v>
      </c>
      <c r="D551" s="2" t="s">
        <v>8</v>
      </c>
      <c r="E551" s="2">
        <v>14</v>
      </c>
      <c r="F551" s="2">
        <v>122.77</v>
      </c>
      <c r="G551" s="8">
        <f>Table1[[#This Row],[Quantity]]*Table1[[#This Row],[Price]]</f>
        <v>1718.78</v>
      </c>
    </row>
    <row r="552" spans="1:7" ht="21" customHeight="1" x14ac:dyDescent="0.3">
      <c r="A552" s="3" t="s">
        <v>36</v>
      </c>
      <c r="B552" s="3" t="str">
        <f>TEXT(Table1[[#This Row],[Date]], "YYYY-mm")</f>
        <v>2024-08</v>
      </c>
      <c r="C552" s="4" t="s">
        <v>15</v>
      </c>
      <c r="D552" s="4" t="s">
        <v>8</v>
      </c>
      <c r="E552" s="4">
        <v>7</v>
      </c>
      <c r="F552" s="4">
        <v>8.2100000000000009</v>
      </c>
      <c r="G552" s="9">
        <f>Table1[[#This Row],[Quantity]]*Table1[[#This Row],[Price]]</f>
        <v>57.470000000000006</v>
      </c>
    </row>
    <row r="553" spans="1:7" ht="21" customHeight="1" x14ac:dyDescent="0.3">
      <c r="A553" s="1" t="s">
        <v>76</v>
      </c>
      <c r="B553" s="1" t="str">
        <f>TEXT(Table1[[#This Row],[Date]], "YYYY-mm")</f>
        <v>2024-12</v>
      </c>
      <c r="C553" s="2" t="s">
        <v>10</v>
      </c>
      <c r="D553" s="2" t="s">
        <v>8</v>
      </c>
      <c r="E553" s="2">
        <v>3</v>
      </c>
      <c r="F553" s="2">
        <v>74.94</v>
      </c>
      <c r="G553" s="8">
        <f>Table1[[#This Row],[Quantity]]*Table1[[#This Row],[Price]]</f>
        <v>224.82</v>
      </c>
    </row>
    <row r="554" spans="1:7" ht="21" customHeight="1" x14ac:dyDescent="0.3">
      <c r="A554" s="3" t="s">
        <v>304</v>
      </c>
      <c r="B554" s="3" t="str">
        <f>TEXT(Table1[[#This Row],[Date]], "YYYY-mm")</f>
        <v>2024-12</v>
      </c>
      <c r="C554" s="4" t="s">
        <v>25</v>
      </c>
      <c r="D554" s="4" t="s">
        <v>19</v>
      </c>
      <c r="E554" s="4">
        <v>12</v>
      </c>
      <c r="F554" s="4">
        <v>880.82</v>
      </c>
      <c r="G554" s="9">
        <f>Table1[[#This Row],[Quantity]]*Table1[[#This Row],[Price]]</f>
        <v>10569.84</v>
      </c>
    </row>
    <row r="555" spans="1:7" ht="21" customHeight="1" x14ac:dyDescent="0.3">
      <c r="A555" s="1" t="s">
        <v>254</v>
      </c>
      <c r="B555" s="1" t="str">
        <f>TEXT(Table1[[#This Row],[Date]], "YYYY-mm")</f>
        <v>2024-09</v>
      </c>
      <c r="C555" s="2" t="s">
        <v>44</v>
      </c>
      <c r="D555" s="2" t="s">
        <v>8</v>
      </c>
      <c r="E555" s="2">
        <v>4</v>
      </c>
      <c r="F555" s="2">
        <v>7.06</v>
      </c>
      <c r="G555" s="8">
        <f>Table1[[#This Row],[Quantity]]*Table1[[#This Row],[Price]]</f>
        <v>28.24</v>
      </c>
    </row>
    <row r="556" spans="1:7" ht="21" customHeight="1" x14ac:dyDescent="0.3">
      <c r="A556" s="3" t="s">
        <v>212</v>
      </c>
      <c r="B556" s="3" t="str">
        <f>TEXT(Table1[[#This Row],[Date]], "YYYY-mm")</f>
        <v>2024-06</v>
      </c>
      <c r="C556" s="4" t="s">
        <v>29</v>
      </c>
      <c r="D556" s="4" t="s">
        <v>19</v>
      </c>
      <c r="E556" s="4">
        <v>3</v>
      </c>
      <c r="F556" s="4">
        <v>764.61</v>
      </c>
      <c r="G556" s="9">
        <f>Table1[[#This Row],[Quantity]]*Table1[[#This Row],[Price]]</f>
        <v>2293.83</v>
      </c>
    </row>
    <row r="557" spans="1:7" ht="21" customHeight="1" x14ac:dyDescent="0.3">
      <c r="A557" s="1" t="s">
        <v>293</v>
      </c>
      <c r="B557" s="1" t="str">
        <f>TEXT(Table1[[#This Row],[Date]], "YYYY-mm")</f>
        <v>2024-02</v>
      </c>
      <c r="C557" s="2" t="s">
        <v>44</v>
      </c>
      <c r="D557" s="2" t="s">
        <v>8</v>
      </c>
      <c r="E557" s="2">
        <v>2</v>
      </c>
      <c r="F557" s="2">
        <v>7.98</v>
      </c>
      <c r="G557" s="8">
        <f>Table1[[#This Row],[Quantity]]*Table1[[#This Row],[Price]]</f>
        <v>15.96</v>
      </c>
    </row>
    <row r="558" spans="1:7" ht="21" customHeight="1" x14ac:dyDescent="0.3">
      <c r="A558" s="3" t="s">
        <v>23</v>
      </c>
      <c r="B558" s="3" t="str">
        <f>TEXT(Table1[[#This Row],[Date]], "YYYY-mm")</f>
        <v>2024-05</v>
      </c>
      <c r="C558" s="4" t="s">
        <v>7</v>
      </c>
      <c r="D558" s="4" t="s">
        <v>8</v>
      </c>
      <c r="E558" s="4">
        <v>12</v>
      </c>
      <c r="F558" s="4">
        <v>30.37</v>
      </c>
      <c r="G558" s="9">
        <f>Table1[[#This Row],[Quantity]]*Table1[[#This Row],[Price]]</f>
        <v>364.44</v>
      </c>
    </row>
    <row r="559" spans="1:7" ht="21" customHeight="1" x14ac:dyDescent="0.3">
      <c r="A559" s="1" t="s">
        <v>165</v>
      </c>
      <c r="B559" s="1" t="str">
        <f>TEXT(Table1[[#This Row],[Date]], "YYYY-mm")</f>
        <v>2024-12</v>
      </c>
      <c r="C559" s="2" t="s">
        <v>25</v>
      </c>
      <c r="D559" s="2" t="s">
        <v>19</v>
      </c>
      <c r="E559" s="2">
        <v>11</v>
      </c>
      <c r="F559" s="2">
        <v>407.63</v>
      </c>
      <c r="G559" s="8">
        <f>Table1[[#This Row],[Quantity]]*Table1[[#This Row],[Price]]</f>
        <v>4483.93</v>
      </c>
    </row>
    <row r="560" spans="1:7" ht="21" customHeight="1" x14ac:dyDescent="0.3">
      <c r="A560" s="3" t="s">
        <v>305</v>
      </c>
      <c r="B560" s="3" t="str">
        <f>TEXT(Table1[[#This Row],[Date]], "YYYY-mm")</f>
        <v>2024-01</v>
      </c>
      <c r="C560" s="4" t="s">
        <v>44</v>
      </c>
      <c r="D560" s="4" t="s">
        <v>8</v>
      </c>
      <c r="E560" s="4">
        <v>14</v>
      </c>
      <c r="F560" s="4">
        <v>19.850000000000001</v>
      </c>
      <c r="G560" s="9">
        <f>Table1[[#This Row],[Quantity]]*Table1[[#This Row],[Price]]</f>
        <v>277.90000000000003</v>
      </c>
    </row>
    <row r="561" spans="1:7" ht="21" customHeight="1" x14ac:dyDescent="0.3">
      <c r="A561" s="1" t="s">
        <v>125</v>
      </c>
      <c r="B561" s="1" t="str">
        <f>TEXT(Table1[[#This Row],[Date]], "YYYY-mm")</f>
        <v>2024-05</v>
      </c>
      <c r="C561" s="2" t="s">
        <v>44</v>
      </c>
      <c r="D561" s="2" t="s">
        <v>8</v>
      </c>
      <c r="E561" s="2">
        <v>14</v>
      </c>
      <c r="F561" s="2">
        <v>11.24</v>
      </c>
      <c r="G561" s="8">
        <f>Table1[[#This Row],[Quantity]]*Table1[[#This Row],[Price]]</f>
        <v>157.36000000000001</v>
      </c>
    </row>
    <row r="562" spans="1:7" ht="21" customHeight="1" x14ac:dyDescent="0.3">
      <c r="A562" s="3" t="s">
        <v>262</v>
      </c>
      <c r="B562" s="3" t="str">
        <f>TEXT(Table1[[#This Row],[Date]], "YYYY-mm")</f>
        <v>2024-11</v>
      </c>
      <c r="C562" s="4" t="s">
        <v>44</v>
      </c>
      <c r="D562" s="4" t="s">
        <v>8</v>
      </c>
      <c r="E562" s="4">
        <v>11</v>
      </c>
      <c r="F562" s="4">
        <v>19.43</v>
      </c>
      <c r="G562" s="9">
        <f>Table1[[#This Row],[Quantity]]*Table1[[#This Row],[Price]]</f>
        <v>213.73</v>
      </c>
    </row>
    <row r="563" spans="1:7" ht="21" customHeight="1" x14ac:dyDescent="0.3">
      <c r="A563" s="1" t="s">
        <v>175</v>
      </c>
      <c r="B563" s="1" t="str">
        <f>TEXT(Table1[[#This Row],[Date]], "YYYY-mm")</f>
        <v>2024-07</v>
      </c>
      <c r="C563" s="2" t="s">
        <v>39</v>
      </c>
      <c r="D563" s="2" t="s">
        <v>8</v>
      </c>
      <c r="E563" s="2">
        <v>9</v>
      </c>
      <c r="F563" s="2">
        <v>3.06</v>
      </c>
      <c r="G563" s="8">
        <f>Table1[[#This Row],[Quantity]]*Table1[[#This Row],[Price]]</f>
        <v>27.54</v>
      </c>
    </row>
    <row r="564" spans="1:7" ht="21" customHeight="1" x14ac:dyDescent="0.3">
      <c r="A564" s="3" t="s">
        <v>199</v>
      </c>
      <c r="B564" s="3" t="str">
        <f>TEXT(Table1[[#This Row],[Date]], "YYYY-mm")</f>
        <v>2024-09</v>
      </c>
      <c r="C564" s="4" t="s">
        <v>18</v>
      </c>
      <c r="D564" s="4" t="s">
        <v>19</v>
      </c>
      <c r="E564" s="4">
        <v>15</v>
      </c>
      <c r="F564" s="4">
        <v>1117.18</v>
      </c>
      <c r="G564" s="9">
        <f>Table1[[#This Row],[Quantity]]*Table1[[#This Row],[Price]]</f>
        <v>16757.7</v>
      </c>
    </row>
    <row r="565" spans="1:7" ht="21" customHeight="1" x14ac:dyDescent="0.3">
      <c r="A565" s="1" t="s">
        <v>306</v>
      </c>
      <c r="B565" s="1" t="str">
        <f>TEXT(Table1[[#This Row],[Date]], "YYYY-mm")</f>
        <v>2024-02</v>
      </c>
      <c r="C565" s="2" t="s">
        <v>7</v>
      </c>
      <c r="D565" s="2" t="s">
        <v>8</v>
      </c>
      <c r="E565" s="2">
        <v>9</v>
      </c>
      <c r="F565" s="2">
        <v>72.17</v>
      </c>
      <c r="G565" s="8">
        <f>Table1[[#This Row],[Quantity]]*Table1[[#This Row],[Price]]</f>
        <v>649.53</v>
      </c>
    </row>
    <row r="566" spans="1:7" ht="21" customHeight="1" x14ac:dyDescent="0.3">
      <c r="A566" s="3" t="s">
        <v>112</v>
      </c>
      <c r="B566" s="3" t="str">
        <f>TEXT(Table1[[#This Row],[Date]], "YYYY-mm")</f>
        <v>2024-02</v>
      </c>
      <c r="C566" s="4" t="s">
        <v>10</v>
      </c>
      <c r="D566" s="4" t="s">
        <v>8</v>
      </c>
      <c r="E566" s="4">
        <v>2</v>
      </c>
      <c r="F566" s="4">
        <v>71</v>
      </c>
      <c r="G566" s="9">
        <f>Table1[[#This Row],[Quantity]]*Table1[[#This Row],[Price]]</f>
        <v>142</v>
      </c>
    </row>
    <row r="567" spans="1:7" ht="21" customHeight="1" x14ac:dyDescent="0.3">
      <c r="A567" s="1" t="s">
        <v>50</v>
      </c>
      <c r="B567" s="1" t="str">
        <f>TEXT(Table1[[#This Row],[Date]], "YYYY-mm")</f>
        <v>2024-08</v>
      </c>
      <c r="C567" s="2" t="s">
        <v>15</v>
      </c>
      <c r="D567" s="2" t="s">
        <v>8</v>
      </c>
      <c r="E567" s="2">
        <v>7</v>
      </c>
      <c r="F567" s="2">
        <v>5.84</v>
      </c>
      <c r="G567" s="8">
        <f>Table1[[#This Row],[Quantity]]*Table1[[#This Row],[Price]]</f>
        <v>40.879999999999995</v>
      </c>
    </row>
    <row r="568" spans="1:7" ht="21" customHeight="1" x14ac:dyDescent="0.3">
      <c r="A568" s="3" t="s">
        <v>263</v>
      </c>
      <c r="B568" s="3" t="str">
        <f>TEXT(Table1[[#This Row],[Date]], "YYYY-mm")</f>
        <v>2024-10</v>
      </c>
      <c r="C568" s="4" t="s">
        <v>22</v>
      </c>
      <c r="D568" s="4" t="s">
        <v>13</v>
      </c>
      <c r="E568" s="4">
        <v>13</v>
      </c>
      <c r="F568" s="4">
        <v>1173.6500000000001</v>
      </c>
      <c r="G568" s="9">
        <f>Table1[[#This Row],[Quantity]]*Table1[[#This Row],[Price]]</f>
        <v>15257.45</v>
      </c>
    </row>
    <row r="569" spans="1:7" ht="21" customHeight="1" x14ac:dyDescent="0.3">
      <c r="A569" s="1" t="s">
        <v>307</v>
      </c>
      <c r="B569" s="1" t="str">
        <f>TEXT(Table1[[#This Row],[Date]], "YYYY-mm")</f>
        <v>2024-09</v>
      </c>
      <c r="C569" s="2" t="s">
        <v>10</v>
      </c>
      <c r="D569" s="2" t="s">
        <v>8</v>
      </c>
      <c r="E569" s="2">
        <v>4</v>
      </c>
      <c r="F569" s="2">
        <v>101.04</v>
      </c>
      <c r="G569" s="8">
        <f>Table1[[#This Row],[Quantity]]*Table1[[#This Row],[Price]]</f>
        <v>404.16</v>
      </c>
    </row>
    <row r="570" spans="1:7" ht="21" customHeight="1" x14ac:dyDescent="0.3">
      <c r="A570" s="3" t="s">
        <v>74</v>
      </c>
      <c r="B570" s="3" t="str">
        <f>TEXT(Table1[[#This Row],[Date]], "YYYY-mm")</f>
        <v>2024-03</v>
      </c>
      <c r="C570" s="4" t="s">
        <v>10</v>
      </c>
      <c r="D570" s="4" t="s">
        <v>8</v>
      </c>
      <c r="E570" s="4">
        <v>6</v>
      </c>
      <c r="F570" s="4">
        <v>113.22</v>
      </c>
      <c r="G570" s="9">
        <f>Table1[[#This Row],[Quantity]]*Table1[[#This Row],[Price]]</f>
        <v>679.31999999999994</v>
      </c>
    </row>
    <row r="571" spans="1:7" ht="21" customHeight="1" x14ac:dyDescent="0.3">
      <c r="A571" s="1" t="s">
        <v>56</v>
      </c>
      <c r="B571" s="1" t="str">
        <f>TEXT(Table1[[#This Row],[Date]], "YYYY-mm")</f>
        <v>2024-06</v>
      </c>
      <c r="C571" s="2" t="s">
        <v>22</v>
      </c>
      <c r="D571" s="2" t="s">
        <v>13</v>
      </c>
      <c r="E571" s="2">
        <v>1</v>
      </c>
      <c r="F571" s="2">
        <v>1874.42</v>
      </c>
      <c r="G571" s="8">
        <f>Table1[[#This Row],[Quantity]]*Table1[[#This Row],[Price]]</f>
        <v>1874.42</v>
      </c>
    </row>
    <row r="572" spans="1:7" ht="21" customHeight="1" x14ac:dyDescent="0.3">
      <c r="A572" s="3" t="s">
        <v>172</v>
      </c>
      <c r="B572" s="3" t="str">
        <f>TEXT(Table1[[#This Row],[Date]], "YYYY-mm")</f>
        <v>2024-09</v>
      </c>
      <c r="C572" s="4" t="s">
        <v>15</v>
      </c>
      <c r="D572" s="4" t="s">
        <v>8</v>
      </c>
      <c r="E572" s="4">
        <v>12</v>
      </c>
      <c r="F572" s="4">
        <v>5.99</v>
      </c>
      <c r="G572" s="9">
        <f>Table1[[#This Row],[Quantity]]*Table1[[#This Row],[Price]]</f>
        <v>71.88</v>
      </c>
    </row>
    <row r="573" spans="1:7" ht="21" customHeight="1" x14ac:dyDescent="0.3">
      <c r="A573" s="1" t="s">
        <v>70</v>
      </c>
      <c r="B573" s="1" t="str">
        <f>TEXT(Table1[[#This Row],[Date]], "YYYY-mm")</f>
        <v>2024-06</v>
      </c>
      <c r="C573" s="2" t="s">
        <v>44</v>
      </c>
      <c r="D573" s="2" t="s">
        <v>8</v>
      </c>
      <c r="E573" s="2">
        <v>12</v>
      </c>
      <c r="F573" s="2">
        <v>9.6</v>
      </c>
      <c r="G573" s="8">
        <f>Table1[[#This Row],[Quantity]]*Table1[[#This Row],[Price]]</f>
        <v>115.19999999999999</v>
      </c>
    </row>
    <row r="574" spans="1:7" ht="21" customHeight="1" x14ac:dyDescent="0.3">
      <c r="A574" s="3" t="s">
        <v>303</v>
      </c>
      <c r="B574" s="3" t="str">
        <f>TEXT(Table1[[#This Row],[Date]], "YYYY-mm")</f>
        <v>2024-01</v>
      </c>
      <c r="C574" s="4" t="s">
        <v>39</v>
      </c>
      <c r="D574" s="4" t="s">
        <v>8</v>
      </c>
      <c r="E574" s="4">
        <v>5</v>
      </c>
      <c r="F574" s="4">
        <v>5.26</v>
      </c>
      <c r="G574" s="9">
        <f>Table1[[#This Row],[Quantity]]*Table1[[#This Row],[Price]]</f>
        <v>26.299999999999997</v>
      </c>
    </row>
    <row r="575" spans="1:7" ht="21" customHeight="1" x14ac:dyDescent="0.3">
      <c r="A575" s="1" t="s">
        <v>169</v>
      </c>
      <c r="B575" s="1" t="str">
        <f>TEXT(Table1[[#This Row],[Date]], "YYYY-mm")</f>
        <v>2024-10</v>
      </c>
      <c r="C575" s="2" t="s">
        <v>15</v>
      </c>
      <c r="D575" s="2" t="s">
        <v>8</v>
      </c>
      <c r="E575" s="2">
        <v>5</v>
      </c>
      <c r="F575" s="2">
        <v>4.34</v>
      </c>
      <c r="G575" s="8">
        <f>Table1[[#This Row],[Quantity]]*Table1[[#This Row],[Price]]</f>
        <v>21.7</v>
      </c>
    </row>
    <row r="576" spans="1:7" ht="21" customHeight="1" x14ac:dyDescent="0.3">
      <c r="A576" s="3" t="s">
        <v>184</v>
      </c>
      <c r="B576" s="3" t="str">
        <f>TEXT(Table1[[#This Row],[Date]], "YYYY-mm")</f>
        <v>2024-06</v>
      </c>
      <c r="C576" s="4" t="s">
        <v>18</v>
      </c>
      <c r="D576" s="4" t="s">
        <v>19</v>
      </c>
      <c r="E576" s="4">
        <v>10</v>
      </c>
      <c r="F576" s="4">
        <v>720.47</v>
      </c>
      <c r="G576" s="9">
        <f>Table1[[#This Row],[Quantity]]*Table1[[#This Row],[Price]]</f>
        <v>7204.7000000000007</v>
      </c>
    </row>
    <row r="577" spans="1:7" ht="21" customHeight="1" x14ac:dyDescent="0.3">
      <c r="A577" s="1" t="s">
        <v>24</v>
      </c>
      <c r="B577" s="1" t="str">
        <f>TEXT(Table1[[#This Row],[Date]], "YYYY-mm")</f>
        <v>2024-06</v>
      </c>
      <c r="C577" s="2" t="s">
        <v>29</v>
      </c>
      <c r="D577" s="2" t="s">
        <v>19</v>
      </c>
      <c r="E577" s="2">
        <v>7</v>
      </c>
      <c r="F577" s="2">
        <v>2437.41</v>
      </c>
      <c r="G577" s="8">
        <f>Table1[[#This Row],[Quantity]]*Table1[[#This Row],[Price]]</f>
        <v>17061.87</v>
      </c>
    </row>
    <row r="578" spans="1:7" ht="21" customHeight="1" x14ac:dyDescent="0.3">
      <c r="A578" s="3" t="s">
        <v>226</v>
      </c>
      <c r="B578" s="3" t="str">
        <f>TEXT(Table1[[#This Row],[Date]], "YYYY-mm")</f>
        <v>2024-07</v>
      </c>
      <c r="C578" s="4" t="s">
        <v>15</v>
      </c>
      <c r="D578" s="4" t="s">
        <v>8</v>
      </c>
      <c r="E578" s="4">
        <v>1</v>
      </c>
      <c r="F578" s="4">
        <v>9.07</v>
      </c>
      <c r="G578" s="9">
        <f>Table1[[#This Row],[Quantity]]*Table1[[#This Row],[Price]]</f>
        <v>9.07</v>
      </c>
    </row>
    <row r="579" spans="1:7" ht="21" customHeight="1" x14ac:dyDescent="0.3">
      <c r="A579" s="1" t="s">
        <v>94</v>
      </c>
      <c r="B579" s="1" t="str">
        <f>TEXT(Table1[[#This Row],[Date]], "YYYY-mm")</f>
        <v>2024-11</v>
      </c>
      <c r="C579" s="2" t="s">
        <v>34</v>
      </c>
      <c r="D579" s="2" t="s">
        <v>19</v>
      </c>
      <c r="E579" s="2">
        <v>12</v>
      </c>
      <c r="F579" s="2">
        <v>1214.3399999999999</v>
      </c>
      <c r="G579" s="8">
        <f>Table1[[#This Row],[Quantity]]*Table1[[#This Row],[Price]]</f>
        <v>14572.079999999998</v>
      </c>
    </row>
    <row r="580" spans="1:7" ht="21" customHeight="1" x14ac:dyDescent="0.3">
      <c r="A580" s="3" t="s">
        <v>225</v>
      </c>
      <c r="B580" s="3" t="str">
        <f>TEXT(Table1[[#This Row],[Date]], "YYYY-mm")</f>
        <v>2024-10</v>
      </c>
      <c r="C580" s="4" t="s">
        <v>7</v>
      </c>
      <c r="D580" s="4" t="s">
        <v>8</v>
      </c>
      <c r="E580" s="4">
        <v>5</v>
      </c>
      <c r="F580" s="4">
        <v>34.729999999999997</v>
      </c>
      <c r="G580" s="9">
        <f>Table1[[#This Row],[Quantity]]*Table1[[#This Row],[Price]]</f>
        <v>173.64999999999998</v>
      </c>
    </row>
    <row r="581" spans="1:7" ht="21" customHeight="1" x14ac:dyDescent="0.3">
      <c r="A581" s="1" t="s">
        <v>90</v>
      </c>
      <c r="B581" s="1" t="str">
        <f>TEXT(Table1[[#This Row],[Date]], "YYYY-mm")</f>
        <v>2024-07</v>
      </c>
      <c r="C581" s="2" t="s">
        <v>10</v>
      </c>
      <c r="D581" s="2" t="s">
        <v>8</v>
      </c>
      <c r="E581" s="2">
        <v>7</v>
      </c>
      <c r="F581" s="2">
        <v>48.64</v>
      </c>
      <c r="G581" s="8">
        <f>Table1[[#This Row],[Quantity]]*Table1[[#This Row],[Price]]</f>
        <v>340.48</v>
      </c>
    </row>
    <row r="582" spans="1:7" ht="21" customHeight="1" x14ac:dyDescent="0.3">
      <c r="A582" s="3" t="s">
        <v>213</v>
      </c>
      <c r="B582" s="3" t="str">
        <f>TEXT(Table1[[#This Row],[Date]], "YYYY-mm")</f>
        <v>2024-08</v>
      </c>
      <c r="C582" s="4" t="s">
        <v>7</v>
      </c>
      <c r="D582" s="4" t="s">
        <v>8</v>
      </c>
      <c r="E582" s="4">
        <v>3</v>
      </c>
      <c r="F582" s="4">
        <v>52.74</v>
      </c>
      <c r="G582" s="9">
        <f>Table1[[#This Row],[Quantity]]*Table1[[#This Row],[Price]]</f>
        <v>158.22</v>
      </c>
    </row>
    <row r="583" spans="1:7" ht="21" customHeight="1" x14ac:dyDescent="0.3">
      <c r="A583" s="1" t="s">
        <v>132</v>
      </c>
      <c r="B583" s="1" t="str">
        <f>TEXT(Table1[[#This Row],[Date]], "YYYY-mm")</f>
        <v>2024-11</v>
      </c>
      <c r="C583" s="2" t="s">
        <v>22</v>
      </c>
      <c r="D583" s="2" t="s">
        <v>13</v>
      </c>
      <c r="E583" s="2">
        <v>8</v>
      </c>
      <c r="F583" s="2">
        <v>1544.33</v>
      </c>
      <c r="G583" s="8">
        <f>Table1[[#This Row],[Quantity]]*Table1[[#This Row],[Price]]</f>
        <v>12354.64</v>
      </c>
    </row>
    <row r="584" spans="1:7" ht="21" customHeight="1" x14ac:dyDescent="0.3">
      <c r="A584" s="3" t="s">
        <v>297</v>
      </c>
      <c r="B584" s="3" t="str">
        <f>TEXT(Table1[[#This Row],[Date]], "YYYY-mm")</f>
        <v>2024-12</v>
      </c>
      <c r="C584" s="4" t="s">
        <v>22</v>
      </c>
      <c r="D584" s="4" t="s">
        <v>13</v>
      </c>
      <c r="E584" s="4">
        <v>11</v>
      </c>
      <c r="F584" s="4">
        <v>1479.32</v>
      </c>
      <c r="G584" s="9">
        <f>Table1[[#This Row],[Quantity]]*Table1[[#This Row],[Price]]</f>
        <v>16272.519999999999</v>
      </c>
    </row>
    <row r="585" spans="1:7" ht="21" customHeight="1" x14ac:dyDescent="0.3">
      <c r="A585" s="1" t="s">
        <v>89</v>
      </c>
      <c r="B585" s="1" t="str">
        <f>TEXT(Table1[[#This Row],[Date]], "YYYY-mm")</f>
        <v>2024-10</v>
      </c>
      <c r="C585" s="2" t="s">
        <v>12</v>
      </c>
      <c r="D585" s="2" t="s">
        <v>13</v>
      </c>
      <c r="E585" s="2">
        <v>13</v>
      </c>
      <c r="F585" s="2">
        <v>284.64999999999998</v>
      </c>
      <c r="G585" s="8">
        <f>Table1[[#This Row],[Quantity]]*Table1[[#This Row],[Price]]</f>
        <v>3700.45</v>
      </c>
    </row>
    <row r="586" spans="1:7" ht="21" customHeight="1" x14ac:dyDescent="0.3">
      <c r="A586" s="3" t="s">
        <v>23</v>
      </c>
      <c r="B586" s="3" t="str">
        <f>TEXT(Table1[[#This Row],[Date]], "YYYY-mm")</f>
        <v>2024-05</v>
      </c>
      <c r="C586" s="4" t="s">
        <v>44</v>
      </c>
      <c r="D586" s="4" t="s">
        <v>8</v>
      </c>
      <c r="E586" s="4">
        <v>11</v>
      </c>
      <c r="F586" s="4">
        <v>9.91</v>
      </c>
      <c r="G586" s="9">
        <f>Table1[[#This Row],[Quantity]]*Table1[[#This Row],[Price]]</f>
        <v>109.01</v>
      </c>
    </row>
    <row r="587" spans="1:7" ht="21" customHeight="1" x14ac:dyDescent="0.3">
      <c r="A587" s="1" t="s">
        <v>118</v>
      </c>
      <c r="B587" s="1" t="str">
        <f>TEXT(Table1[[#This Row],[Date]], "YYYY-mm")</f>
        <v>2024-06</v>
      </c>
      <c r="C587" s="2" t="s">
        <v>15</v>
      </c>
      <c r="D587" s="2" t="s">
        <v>8</v>
      </c>
      <c r="E587" s="2">
        <v>1</v>
      </c>
      <c r="F587" s="2">
        <v>9.14</v>
      </c>
      <c r="G587" s="8">
        <f>Table1[[#This Row],[Quantity]]*Table1[[#This Row],[Price]]</f>
        <v>9.14</v>
      </c>
    </row>
    <row r="588" spans="1:7" ht="21" customHeight="1" x14ac:dyDescent="0.3">
      <c r="A588" s="3" t="s">
        <v>308</v>
      </c>
      <c r="B588" s="3" t="str">
        <f>TEXT(Table1[[#This Row],[Date]], "YYYY-mm")</f>
        <v>2024-11</v>
      </c>
      <c r="C588" s="4" t="s">
        <v>29</v>
      </c>
      <c r="D588" s="4" t="s">
        <v>19</v>
      </c>
      <c r="E588" s="4">
        <v>14</v>
      </c>
      <c r="F588" s="4">
        <v>1238.2</v>
      </c>
      <c r="G588" s="9">
        <f>Table1[[#This Row],[Quantity]]*Table1[[#This Row],[Price]]</f>
        <v>17334.8</v>
      </c>
    </row>
    <row r="589" spans="1:7" ht="21" customHeight="1" x14ac:dyDescent="0.3">
      <c r="A589" s="1" t="s">
        <v>309</v>
      </c>
      <c r="B589" s="1" t="str">
        <f>TEXT(Table1[[#This Row],[Date]], "YYYY-mm")</f>
        <v>2024-01</v>
      </c>
      <c r="C589" s="2" t="s">
        <v>25</v>
      </c>
      <c r="D589" s="2" t="s">
        <v>19</v>
      </c>
      <c r="E589" s="2">
        <v>4</v>
      </c>
      <c r="F589" s="2">
        <v>808.7</v>
      </c>
      <c r="G589" s="8">
        <f>Table1[[#This Row],[Quantity]]*Table1[[#This Row],[Price]]</f>
        <v>3234.8</v>
      </c>
    </row>
    <row r="590" spans="1:7" ht="21" customHeight="1" x14ac:dyDescent="0.3">
      <c r="A590" s="3" t="s">
        <v>31</v>
      </c>
      <c r="B590" s="3" t="str">
        <f>TEXT(Table1[[#This Row],[Date]], "YYYY-mm")</f>
        <v>2024-08</v>
      </c>
      <c r="C590" s="4" t="s">
        <v>34</v>
      </c>
      <c r="D590" s="4" t="s">
        <v>19</v>
      </c>
      <c r="E590" s="4">
        <v>15</v>
      </c>
      <c r="F590" s="4">
        <v>838.86</v>
      </c>
      <c r="G590" s="9">
        <f>Table1[[#This Row],[Quantity]]*Table1[[#This Row],[Price]]</f>
        <v>12582.9</v>
      </c>
    </row>
    <row r="591" spans="1:7" ht="21" customHeight="1" x14ac:dyDescent="0.3">
      <c r="A591" s="1" t="s">
        <v>247</v>
      </c>
      <c r="B591" s="1" t="str">
        <f>TEXT(Table1[[#This Row],[Date]], "YYYY-mm")</f>
        <v>2024-03</v>
      </c>
      <c r="C591" s="2" t="s">
        <v>18</v>
      </c>
      <c r="D591" s="2" t="s">
        <v>19</v>
      </c>
      <c r="E591" s="2">
        <v>9</v>
      </c>
      <c r="F591" s="2">
        <v>922.71</v>
      </c>
      <c r="G591" s="8">
        <f>Table1[[#This Row],[Quantity]]*Table1[[#This Row],[Price]]</f>
        <v>8304.39</v>
      </c>
    </row>
    <row r="592" spans="1:7" ht="21" customHeight="1" x14ac:dyDescent="0.3">
      <c r="A592" s="3" t="s">
        <v>310</v>
      </c>
      <c r="B592" s="3" t="str">
        <f>TEXT(Table1[[#This Row],[Date]], "YYYY-mm")</f>
        <v>2024-12</v>
      </c>
      <c r="C592" s="4" t="s">
        <v>15</v>
      </c>
      <c r="D592" s="4" t="s">
        <v>8</v>
      </c>
      <c r="E592" s="4">
        <v>2</v>
      </c>
      <c r="F592" s="4">
        <v>4.93</v>
      </c>
      <c r="G592" s="9">
        <f>Table1[[#This Row],[Quantity]]*Table1[[#This Row],[Price]]</f>
        <v>9.86</v>
      </c>
    </row>
    <row r="593" spans="1:7" ht="21" customHeight="1" x14ac:dyDescent="0.3">
      <c r="A593" s="1" t="s">
        <v>78</v>
      </c>
      <c r="B593" s="1" t="str">
        <f>TEXT(Table1[[#This Row],[Date]], "YYYY-mm")</f>
        <v>2024-04</v>
      </c>
      <c r="C593" s="2" t="s">
        <v>34</v>
      </c>
      <c r="D593" s="2" t="s">
        <v>19</v>
      </c>
      <c r="E593" s="2">
        <v>15</v>
      </c>
      <c r="F593" s="2">
        <v>1579.55</v>
      </c>
      <c r="G593" s="8">
        <f>Table1[[#This Row],[Quantity]]*Table1[[#This Row],[Price]]</f>
        <v>23693.25</v>
      </c>
    </row>
    <row r="594" spans="1:7" ht="21" customHeight="1" x14ac:dyDescent="0.3">
      <c r="A594" s="3" t="s">
        <v>94</v>
      </c>
      <c r="B594" s="3" t="str">
        <f>TEXT(Table1[[#This Row],[Date]], "YYYY-mm")</f>
        <v>2024-11</v>
      </c>
      <c r="C594" s="4" t="s">
        <v>44</v>
      </c>
      <c r="D594" s="4" t="s">
        <v>8</v>
      </c>
      <c r="E594" s="4">
        <v>4</v>
      </c>
      <c r="F594" s="4">
        <v>15.76</v>
      </c>
      <c r="G594" s="9">
        <f>Table1[[#This Row],[Quantity]]*Table1[[#This Row],[Price]]</f>
        <v>63.04</v>
      </c>
    </row>
    <row r="595" spans="1:7" ht="21" customHeight="1" x14ac:dyDescent="0.3">
      <c r="A595" s="1" t="s">
        <v>273</v>
      </c>
      <c r="B595" s="1" t="str">
        <f>TEXT(Table1[[#This Row],[Date]], "YYYY-mm")</f>
        <v>2024-02</v>
      </c>
      <c r="C595" s="2" t="s">
        <v>25</v>
      </c>
      <c r="D595" s="2" t="s">
        <v>19</v>
      </c>
      <c r="E595" s="2">
        <v>12</v>
      </c>
      <c r="F595" s="2">
        <v>309.91000000000003</v>
      </c>
      <c r="G595" s="8">
        <f>Table1[[#This Row],[Quantity]]*Table1[[#This Row],[Price]]</f>
        <v>3718.92</v>
      </c>
    </row>
    <row r="596" spans="1:7" ht="21" customHeight="1" x14ac:dyDescent="0.3">
      <c r="A596" s="3" t="s">
        <v>214</v>
      </c>
      <c r="B596" s="3" t="str">
        <f>TEXT(Table1[[#This Row],[Date]], "YYYY-mm")</f>
        <v>2024-01</v>
      </c>
      <c r="C596" s="4" t="s">
        <v>22</v>
      </c>
      <c r="D596" s="4" t="s">
        <v>13</v>
      </c>
      <c r="E596" s="4">
        <v>15</v>
      </c>
      <c r="F596" s="4">
        <v>1398.08</v>
      </c>
      <c r="G596" s="9">
        <f>Table1[[#This Row],[Quantity]]*Table1[[#This Row],[Price]]</f>
        <v>20971.199999999997</v>
      </c>
    </row>
    <row r="597" spans="1:7" ht="21" customHeight="1" x14ac:dyDescent="0.3">
      <c r="A597" s="1" t="s">
        <v>166</v>
      </c>
      <c r="B597" s="1" t="str">
        <f>TEXT(Table1[[#This Row],[Date]], "YYYY-mm")</f>
        <v>2024-12</v>
      </c>
      <c r="C597" s="2" t="s">
        <v>22</v>
      </c>
      <c r="D597" s="2" t="s">
        <v>13</v>
      </c>
      <c r="E597" s="2">
        <v>7</v>
      </c>
      <c r="F597" s="2">
        <v>1206.55</v>
      </c>
      <c r="G597" s="8">
        <f>Table1[[#This Row],[Quantity]]*Table1[[#This Row],[Price]]</f>
        <v>8445.85</v>
      </c>
    </row>
    <row r="598" spans="1:7" ht="21" customHeight="1" x14ac:dyDescent="0.3">
      <c r="A598" s="3" t="s">
        <v>245</v>
      </c>
      <c r="B598" s="3" t="str">
        <f>TEXT(Table1[[#This Row],[Date]], "YYYY-mm")</f>
        <v>2024-03</v>
      </c>
      <c r="C598" s="4" t="s">
        <v>15</v>
      </c>
      <c r="D598" s="4" t="s">
        <v>8</v>
      </c>
      <c r="E598" s="4">
        <v>12</v>
      </c>
      <c r="F598" s="4">
        <v>6.02</v>
      </c>
      <c r="G598" s="9">
        <f>Table1[[#This Row],[Quantity]]*Table1[[#This Row],[Price]]</f>
        <v>72.239999999999995</v>
      </c>
    </row>
    <row r="599" spans="1:7" ht="21" customHeight="1" x14ac:dyDescent="0.3">
      <c r="A599" s="1" t="s">
        <v>198</v>
      </c>
      <c r="B599" s="1" t="str">
        <f>TEXT(Table1[[#This Row],[Date]], "YYYY-mm")</f>
        <v>2024-12</v>
      </c>
      <c r="C599" s="2" t="s">
        <v>22</v>
      </c>
      <c r="D599" s="2" t="s">
        <v>13</v>
      </c>
      <c r="E599" s="2">
        <v>6</v>
      </c>
      <c r="F599" s="2">
        <v>529.03</v>
      </c>
      <c r="G599" s="8">
        <f>Table1[[#This Row],[Quantity]]*Table1[[#This Row],[Price]]</f>
        <v>3174.18</v>
      </c>
    </row>
    <row r="600" spans="1:7" ht="21" customHeight="1" x14ac:dyDescent="0.3">
      <c r="A600" s="3" t="s">
        <v>136</v>
      </c>
      <c r="B600" s="3" t="str">
        <f>TEXT(Table1[[#This Row],[Date]], "YYYY-mm")</f>
        <v>2024-05</v>
      </c>
      <c r="C600" s="4" t="s">
        <v>12</v>
      </c>
      <c r="D600" s="4" t="s">
        <v>13</v>
      </c>
      <c r="E600" s="4">
        <v>1</v>
      </c>
      <c r="F600" s="4">
        <v>481.3</v>
      </c>
      <c r="G600" s="9">
        <f>Table1[[#This Row],[Quantity]]*Table1[[#This Row],[Price]]</f>
        <v>481.3</v>
      </c>
    </row>
    <row r="601" spans="1:7" ht="21" customHeight="1" x14ac:dyDescent="0.3">
      <c r="A601" s="1" t="s">
        <v>166</v>
      </c>
      <c r="B601" s="1" t="str">
        <f>TEXT(Table1[[#This Row],[Date]], "YYYY-mm")</f>
        <v>2024-12</v>
      </c>
      <c r="C601" s="2" t="s">
        <v>39</v>
      </c>
      <c r="D601" s="2" t="s">
        <v>8</v>
      </c>
      <c r="E601" s="2">
        <v>12</v>
      </c>
      <c r="F601" s="2">
        <v>3.62</v>
      </c>
      <c r="G601" s="8">
        <f>Table1[[#This Row],[Quantity]]*Table1[[#This Row],[Price]]</f>
        <v>43.44</v>
      </c>
    </row>
    <row r="602" spans="1:7" ht="21" customHeight="1" x14ac:dyDescent="0.3">
      <c r="A602" s="3" t="s">
        <v>311</v>
      </c>
      <c r="B602" s="3" t="str">
        <f>TEXT(Table1[[#This Row],[Date]], "YYYY-mm")</f>
        <v>2024-11</v>
      </c>
      <c r="C602" s="4" t="s">
        <v>18</v>
      </c>
      <c r="D602" s="4" t="s">
        <v>19</v>
      </c>
      <c r="E602" s="4">
        <v>9</v>
      </c>
      <c r="F602" s="4">
        <v>883.02</v>
      </c>
      <c r="G602" s="9">
        <f>Table1[[#This Row],[Quantity]]*Table1[[#This Row],[Price]]</f>
        <v>7947.18</v>
      </c>
    </row>
    <row r="603" spans="1:7" ht="21" customHeight="1" x14ac:dyDescent="0.3">
      <c r="A603" s="1" t="s">
        <v>40</v>
      </c>
      <c r="B603" s="1" t="str">
        <f>TEXT(Table1[[#This Row],[Date]], "YYYY-mm")</f>
        <v>2024-09</v>
      </c>
      <c r="C603" s="2" t="s">
        <v>39</v>
      </c>
      <c r="D603" s="2" t="s">
        <v>8</v>
      </c>
      <c r="E603" s="2">
        <v>10</v>
      </c>
      <c r="F603" s="2">
        <v>2.79</v>
      </c>
      <c r="G603" s="8">
        <f>Table1[[#This Row],[Quantity]]*Table1[[#This Row],[Price]]</f>
        <v>27.9</v>
      </c>
    </row>
    <row r="604" spans="1:7" ht="21" customHeight="1" x14ac:dyDescent="0.3">
      <c r="A604" s="3" t="s">
        <v>79</v>
      </c>
      <c r="B604" s="3" t="str">
        <f>TEXT(Table1[[#This Row],[Date]], "YYYY-mm")</f>
        <v>2024-06</v>
      </c>
      <c r="C604" s="4" t="s">
        <v>15</v>
      </c>
      <c r="D604" s="4" t="s">
        <v>8</v>
      </c>
      <c r="E604" s="4">
        <v>15</v>
      </c>
      <c r="F604" s="4">
        <v>5.32</v>
      </c>
      <c r="G604" s="9">
        <f>Table1[[#This Row],[Quantity]]*Table1[[#This Row],[Price]]</f>
        <v>79.800000000000011</v>
      </c>
    </row>
    <row r="605" spans="1:7" ht="21" customHeight="1" x14ac:dyDescent="0.3">
      <c r="A605" s="1" t="s">
        <v>129</v>
      </c>
      <c r="B605" s="1" t="str">
        <f>TEXT(Table1[[#This Row],[Date]], "YYYY-mm")</f>
        <v>2024-04</v>
      </c>
      <c r="C605" s="2" t="s">
        <v>7</v>
      </c>
      <c r="D605" s="2" t="s">
        <v>8</v>
      </c>
      <c r="E605" s="2">
        <v>11</v>
      </c>
      <c r="F605" s="2">
        <v>47.59</v>
      </c>
      <c r="G605" s="8">
        <f>Table1[[#This Row],[Quantity]]*Table1[[#This Row],[Price]]</f>
        <v>523.49</v>
      </c>
    </row>
    <row r="606" spans="1:7" ht="21" customHeight="1" x14ac:dyDescent="0.3">
      <c r="A606" s="3" t="s">
        <v>98</v>
      </c>
      <c r="B606" s="3" t="str">
        <f>TEXT(Table1[[#This Row],[Date]], "YYYY-mm")</f>
        <v>2024-03</v>
      </c>
      <c r="C606" s="4" t="s">
        <v>39</v>
      </c>
      <c r="D606" s="4" t="s">
        <v>8</v>
      </c>
      <c r="E606" s="4">
        <v>14</v>
      </c>
      <c r="F606" s="4">
        <v>6.89</v>
      </c>
      <c r="G606" s="9">
        <f>Table1[[#This Row],[Quantity]]*Table1[[#This Row],[Price]]</f>
        <v>96.46</v>
      </c>
    </row>
    <row r="607" spans="1:7" ht="21" customHeight="1" x14ac:dyDescent="0.3">
      <c r="A607" s="1" t="s">
        <v>312</v>
      </c>
      <c r="B607" s="1" t="str">
        <f>TEXT(Table1[[#This Row],[Date]], "YYYY-mm")</f>
        <v>2024-02</v>
      </c>
      <c r="C607" s="2" t="s">
        <v>15</v>
      </c>
      <c r="D607" s="2" t="s">
        <v>8</v>
      </c>
      <c r="E607" s="2">
        <v>13</v>
      </c>
      <c r="F607" s="2">
        <v>4.8499999999999996</v>
      </c>
      <c r="G607" s="8">
        <f>Table1[[#This Row],[Quantity]]*Table1[[#This Row],[Price]]</f>
        <v>63.05</v>
      </c>
    </row>
    <row r="608" spans="1:7" ht="21" customHeight="1" x14ac:dyDescent="0.3">
      <c r="A608" s="3" t="s">
        <v>313</v>
      </c>
      <c r="B608" s="3" t="str">
        <f>TEXT(Table1[[#This Row],[Date]], "YYYY-mm")</f>
        <v>2024-04</v>
      </c>
      <c r="C608" s="4" t="s">
        <v>27</v>
      </c>
      <c r="D608" s="4" t="s">
        <v>8</v>
      </c>
      <c r="E608" s="4">
        <v>12</v>
      </c>
      <c r="F608" s="4">
        <v>208.05</v>
      </c>
      <c r="G608" s="9">
        <f>Table1[[#This Row],[Quantity]]*Table1[[#This Row],[Price]]</f>
        <v>2496.6000000000004</v>
      </c>
    </row>
    <row r="609" spans="1:7" ht="21" customHeight="1" x14ac:dyDescent="0.3">
      <c r="A609" s="1" t="s">
        <v>30</v>
      </c>
      <c r="B609" s="1" t="str">
        <f>TEXT(Table1[[#This Row],[Date]], "YYYY-mm")</f>
        <v>2024-06</v>
      </c>
      <c r="C609" s="2" t="s">
        <v>10</v>
      </c>
      <c r="D609" s="2" t="s">
        <v>8</v>
      </c>
      <c r="E609" s="2">
        <v>12</v>
      </c>
      <c r="F609" s="2">
        <v>58.34</v>
      </c>
      <c r="G609" s="8">
        <f>Table1[[#This Row],[Quantity]]*Table1[[#This Row],[Price]]</f>
        <v>700.08</v>
      </c>
    </row>
    <row r="610" spans="1:7" ht="21" customHeight="1" x14ac:dyDescent="0.3">
      <c r="A610" s="3" t="s">
        <v>153</v>
      </c>
      <c r="B610" s="3" t="str">
        <f>TEXT(Table1[[#This Row],[Date]], "YYYY-mm")</f>
        <v>2024-07</v>
      </c>
      <c r="C610" s="4" t="s">
        <v>18</v>
      </c>
      <c r="D610" s="4" t="s">
        <v>19</v>
      </c>
      <c r="E610" s="4">
        <v>12</v>
      </c>
      <c r="F610" s="4">
        <v>1357.34</v>
      </c>
      <c r="G610" s="9">
        <f>Table1[[#This Row],[Quantity]]*Table1[[#This Row],[Price]]</f>
        <v>16288.079999999998</v>
      </c>
    </row>
    <row r="611" spans="1:7" ht="21" customHeight="1" x14ac:dyDescent="0.3">
      <c r="A611" s="1" t="s">
        <v>189</v>
      </c>
      <c r="B611" s="1" t="str">
        <f>TEXT(Table1[[#This Row],[Date]], "YYYY-mm")</f>
        <v>2024-09</v>
      </c>
      <c r="C611" s="2" t="s">
        <v>15</v>
      </c>
      <c r="D611" s="2" t="s">
        <v>8</v>
      </c>
      <c r="E611" s="2">
        <v>9</v>
      </c>
      <c r="F611" s="2">
        <v>7.69</v>
      </c>
      <c r="G611" s="8">
        <f>Table1[[#This Row],[Quantity]]*Table1[[#This Row],[Price]]</f>
        <v>69.210000000000008</v>
      </c>
    </row>
    <row r="612" spans="1:7" ht="21" customHeight="1" x14ac:dyDescent="0.3">
      <c r="A612" s="3" t="s">
        <v>60</v>
      </c>
      <c r="B612" s="3" t="str">
        <f>TEXT(Table1[[#This Row],[Date]], "YYYY-mm")</f>
        <v>2024-11</v>
      </c>
      <c r="C612" s="4" t="s">
        <v>7</v>
      </c>
      <c r="D612" s="4" t="s">
        <v>8</v>
      </c>
      <c r="E612" s="4">
        <v>2</v>
      </c>
      <c r="F612" s="4">
        <v>22.69</v>
      </c>
      <c r="G612" s="9">
        <f>Table1[[#This Row],[Quantity]]*Table1[[#This Row],[Price]]</f>
        <v>45.38</v>
      </c>
    </row>
    <row r="613" spans="1:7" ht="21" customHeight="1" x14ac:dyDescent="0.3">
      <c r="A613" s="1" t="s">
        <v>76</v>
      </c>
      <c r="B613" s="1" t="str">
        <f>TEXT(Table1[[#This Row],[Date]], "YYYY-mm")</f>
        <v>2024-12</v>
      </c>
      <c r="C613" s="2" t="s">
        <v>25</v>
      </c>
      <c r="D613" s="2" t="s">
        <v>19</v>
      </c>
      <c r="E613" s="2">
        <v>9</v>
      </c>
      <c r="F613" s="2">
        <v>447.18</v>
      </c>
      <c r="G613" s="8">
        <f>Table1[[#This Row],[Quantity]]*Table1[[#This Row],[Price]]</f>
        <v>4024.62</v>
      </c>
    </row>
    <row r="614" spans="1:7" ht="21" customHeight="1" x14ac:dyDescent="0.3">
      <c r="A614" s="3" t="s">
        <v>314</v>
      </c>
      <c r="B614" s="3" t="str">
        <f>TEXT(Table1[[#This Row],[Date]], "YYYY-mm")</f>
        <v>2024-08</v>
      </c>
      <c r="C614" s="4" t="s">
        <v>15</v>
      </c>
      <c r="D614" s="4" t="s">
        <v>8</v>
      </c>
      <c r="E614" s="4">
        <v>8</v>
      </c>
      <c r="F614" s="4">
        <v>4.33</v>
      </c>
      <c r="G614" s="9">
        <f>Table1[[#This Row],[Quantity]]*Table1[[#This Row],[Price]]</f>
        <v>34.64</v>
      </c>
    </row>
    <row r="615" spans="1:7" ht="21" customHeight="1" x14ac:dyDescent="0.3">
      <c r="A615" s="1" t="s">
        <v>149</v>
      </c>
      <c r="B615" s="1" t="str">
        <f>TEXT(Table1[[#This Row],[Date]], "YYYY-mm")</f>
        <v>2024-08</v>
      </c>
      <c r="C615" s="2" t="s">
        <v>18</v>
      </c>
      <c r="D615" s="2" t="s">
        <v>19</v>
      </c>
      <c r="E615" s="2">
        <v>6</v>
      </c>
      <c r="F615" s="2">
        <v>925.76</v>
      </c>
      <c r="G615" s="8">
        <f>Table1[[#This Row],[Quantity]]*Table1[[#This Row],[Price]]</f>
        <v>5554.5599999999995</v>
      </c>
    </row>
    <row r="616" spans="1:7" ht="21" customHeight="1" x14ac:dyDescent="0.3">
      <c r="A616" s="3" t="s">
        <v>263</v>
      </c>
      <c r="B616" s="3" t="str">
        <f>TEXT(Table1[[#This Row],[Date]], "YYYY-mm")</f>
        <v>2024-10</v>
      </c>
      <c r="C616" s="4" t="s">
        <v>7</v>
      </c>
      <c r="D616" s="4" t="s">
        <v>8</v>
      </c>
      <c r="E616" s="4">
        <v>5</v>
      </c>
      <c r="F616" s="4">
        <v>66.83</v>
      </c>
      <c r="G616" s="9">
        <f>Table1[[#This Row],[Quantity]]*Table1[[#This Row],[Price]]</f>
        <v>334.15</v>
      </c>
    </row>
    <row r="617" spans="1:7" ht="21" customHeight="1" x14ac:dyDescent="0.3">
      <c r="A617" s="1" t="s">
        <v>310</v>
      </c>
      <c r="B617" s="1" t="str">
        <f>TEXT(Table1[[#This Row],[Date]], "YYYY-mm")</f>
        <v>2024-12</v>
      </c>
      <c r="C617" s="2" t="s">
        <v>39</v>
      </c>
      <c r="D617" s="2" t="s">
        <v>8</v>
      </c>
      <c r="E617" s="2">
        <v>11</v>
      </c>
      <c r="F617" s="2">
        <v>6.68</v>
      </c>
      <c r="G617" s="8">
        <f>Table1[[#This Row],[Quantity]]*Table1[[#This Row],[Price]]</f>
        <v>73.47999999999999</v>
      </c>
    </row>
    <row r="618" spans="1:7" ht="21" customHeight="1" x14ac:dyDescent="0.3">
      <c r="A618" s="3" t="s">
        <v>149</v>
      </c>
      <c r="B618" s="3" t="str">
        <f>TEXT(Table1[[#This Row],[Date]], "YYYY-mm")</f>
        <v>2024-08</v>
      </c>
      <c r="C618" s="4" t="s">
        <v>10</v>
      </c>
      <c r="D618" s="4" t="s">
        <v>8</v>
      </c>
      <c r="E618" s="4">
        <v>1</v>
      </c>
      <c r="F618" s="4">
        <v>76.84</v>
      </c>
      <c r="G618" s="9">
        <f>Table1[[#This Row],[Quantity]]*Table1[[#This Row],[Price]]</f>
        <v>76.84</v>
      </c>
    </row>
    <row r="619" spans="1:7" ht="21" customHeight="1" x14ac:dyDescent="0.3">
      <c r="A619" s="1" t="s">
        <v>91</v>
      </c>
      <c r="B619" s="1" t="str">
        <f>TEXT(Table1[[#This Row],[Date]], "YYYY-mm")</f>
        <v>2024-10</v>
      </c>
      <c r="C619" s="2" t="s">
        <v>18</v>
      </c>
      <c r="D619" s="2" t="s">
        <v>19</v>
      </c>
      <c r="E619" s="2">
        <v>6</v>
      </c>
      <c r="F619" s="2">
        <v>887.25</v>
      </c>
      <c r="G619" s="8">
        <f>Table1[[#This Row],[Quantity]]*Table1[[#This Row],[Price]]</f>
        <v>5323.5</v>
      </c>
    </row>
    <row r="620" spans="1:7" ht="21" customHeight="1" x14ac:dyDescent="0.3">
      <c r="A620" s="3" t="s">
        <v>245</v>
      </c>
      <c r="B620" s="3" t="str">
        <f>TEXT(Table1[[#This Row],[Date]], "YYYY-mm")</f>
        <v>2024-03</v>
      </c>
      <c r="C620" s="4" t="s">
        <v>27</v>
      </c>
      <c r="D620" s="4" t="s">
        <v>8</v>
      </c>
      <c r="E620" s="4">
        <v>9</v>
      </c>
      <c r="F620" s="4">
        <v>101.63</v>
      </c>
      <c r="G620" s="9">
        <f>Table1[[#This Row],[Quantity]]*Table1[[#This Row],[Price]]</f>
        <v>914.67</v>
      </c>
    </row>
    <row r="621" spans="1:7" ht="21" customHeight="1" x14ac:dyDescent="0.3">
      <c r="A621" s="1" t="s">
        <v>218</v>
      </c>
      <c r="B621" s="1" t="str">
        <f>TEXT(Table1[[#This Row],[Date]], "YYYY-mm")</f>
        <v>2024-08</v>
      </c>
      <c r="C621" s="2" t="s">
        <v>25</v>
      </c>
      <c r="D621" s="2" t="s">
        <v>19</v>
      </c>
      <c r="E621" s="2">
        <v>15</v>
      </c>
      <c r="F621" s="2">
        <v>967.97</v>
      </c>
      <c r="G621" s="8">
        <f>Table1[[#This Row],[Quantity]]*Table1[[#This Row],[Price]]</f>
        <v>14519.550000000001</v>
      </c>
    </row>
    <row r="622" spans="1:7" ht="21" customHeight="1" x14ac:dyDescent="0.3">
      <c r="A622" s="3" t="s">
        <v>315</v>
      </c>
      <c r="B622" s="3" t="str">
        <f>TEXT(Table1[[#This Row],[Date]], "YYYY-mm")</f>
        <v>2024-07</v>
      </c>
      <c r="C622" s="4" t="s">
        <v>29</v>
      </c>
      <c r="D622" s="4" t="s">
        <v>19</v>
      </c>
      <c r="E622" s="4">
        <v>4</v>
      </c>
      <c r="F622" s="4">
        <v>2267.56</v>
      </c>
      <c r="G622" s="9">
        <f>Table1[[#This Row],[Quantity]]*Table1[[#This Row],[Price]]</f>
        <v>9070.24</v>
      </c>
    </row>
    <row r="623" spans="1:7" ht="21" customHeight="1" x14ac:dyDescent="0.3">
      <c r="A623" s="1" t="s">
        <v>124</v>
      </c>
      <c r="B623" s="1" t="str">
        <f>TEXT(Table1[[#This Row],[Date]], "YYYY-mm")</f>
        <v>2024-08</v>
      </c>
      <c r="C623" s="2" t="s">
        <v>34</v>
      </c>
      <c r="D623" s="2" t="s">
        <v>19</v>
      </c>
      <c r="E623" s="2">
        <v>4</v>
      </c>
      <c r="F623" s="2">
        <v>630.16999999999996</v>
      </c>
      <c r="G623" s="8">
        <f>Table1[[#This Row],[Quantity]]*Table1[[#This Row],[Price]]</f>
        <v>2520.6799999999998</v>
      </c>
    </row>
    <row r="624" spans="1:7" ht="21" customHeight="1" x14ac:dyDescent="0.3">
      <c r="A624" s="3" t="s">
        <v>238</v>
      </c>
      <c r="B624" s="3" t="str">
        <f>TEXT(Table1[[#This Row],[Date]], "YYYY-mm")</f>
        <v>2024-07</v>
      </c>
      <c r="C624" s="4" t="s">
        <v>7</v>
      </c>
      <c r="D624" s="4" t="s">
        <v>8</v>
      </c>
      <c r="E624" s="4">
        <v>5</v>
      </c>
      <c r="F624" s="4">
        <v>43.57</v>
      </c>
      <c r="G624" s="9">
        <f>Table1[[#This Row],[Quantity]]*Table1[[#This Row],[Price]]</f>
        <v>217.85</v>
      </c>
    </row>
    <row r="625" spans="1:7" ht="21" customHeight="1" x14ac:dyDescent="0.3">
      <c r="A625" s="1" t="s">
        <v>241</v>
      </c>
      <c r="B625" s="1" t="str">
        <f>TEXT(Table1[[#This Row],[Date]], "YYYY-mm")</f>
        <v>2024-05</v>
      </c>
      <c r="C625" s="2" t="s">
        <v>10</v>
      </c>
      <c r="D625" s="2" t="s">
        <v>8</v>
      </c>
      <c r="E625" s="2">
        <v>13</v>
      </c>
      <c r="F625" s="2">
        <v>105.9</v>
      </c>
      <c r="G625" s="8">
        <f>Table1[[#This Row],[Quantity]]*Table1[[#This Row],[Price]]</f>
        <v>1376.7</v>
      </c>
    </row>
    <row r="626" spans="1:7" ht="21" customHeight="1" x14ac:dyDescent="0.3">
      <c r="A626" s="3" t="s">
        <v>90</v>
      </c>
      <c r="B626" s="3" t="str">
        <f>TEXT(Table1[[#This Row],[Date]], "YYYY-mm")</f>
        <v>2024-07</v>
      </c>
      <c r="C626" s="4" t="s">
        <v>15</v>
      </c>
      <c r="D626" s="4" t="s">
        <v>8</v>
      </c>
      <c r="E626" s="4">
        <v>9</v>
      </c>
      <c r="F626" s="4">
        <v>9.09</v>
      </c>
      <c r="G626" s="9">
        <f>Table1[[#This Row],[Quantity]]*Table1[[#This Row],[Price]]</f>
        <v>81.81</v>
      </c>
    </row>
    <row r="627" spans="1:7" ht="21" customHeight="1" x14ac:dyDescent="0.3">
      <c r="A627" s="1" t="s">
        <v>177</v>
      </c>
      <c r="B627" s="1" t="str">
        <f>TEXT(Table1[[#This Row],[Date]], "YYYY-mm")</f>
        <v>2024-09</v>
      </c>
      <c r="C627" s="2" t="s">
        <v>12</v>
      </c>
      <c r="D627" s="2" t="s">
        <v>13</v>
      </c>
      <c r="E627" s="2">
        <v>4</v>
      </c>
      <c r="F627" s="2">
        <v>521.88</v>
      </c>
      <c r="G627" s="8">
        <f>Table1[[#This Row],[Quantity]]*Table1[[#This Row],[Price]]</f>
        <v>2087.52</v>
      </c>
    </row>
    <row r="628" spans="1:7" ht="21" customHeight="1" x14ac:dyDescent="0.3">
      <c r="A628" s="3" t="s">
        <v>89</v>
      </c>
      <c r="B628" s="3" t="str">
        <f>TEXT(Table1[[#This Row],[Date]], "YYYY-mm")</f>
        <v>2024-10</v>
      </c>
      <c r="C628" s="4" t="s">
        <v>7</v>
      </c>
      <c r="D628" s="4" t="s">
        <v>8</v>
      </c>
      <c r="E628" s="4">
        <v>9</v>
      </c>
      <c r="F628" s="4">
        <v>75.42</v>
      </c>
      <c r="G628" s="9">
        <f>Table1[[#This Row],[Quantity]]*Table1[[#This Row],[Price]]</f>
        <v>678.78</v>
      </c>
    </row>
    <row r="629" spans="1:7" ht="21" customHeight="1" x14ac:dyDescent="0.3">
      <c r="A629" s="1" t="s">
        <v>301</v>
      </c>
      <c r="B629" s="1" t="str">
        <f>TEXT(Table1[[#This Row],[Date]], "YYYY-mm")</f>
        <v>2024-07</v>
      </c>
      <c r="C629" s="2" t="s">
        <v>22</v>
      </c>
      <c r="D629" s="2" t="s">
        <v>13</v>
      </c>
      <c r="E629" s="2">
        <v>6</v>
      </c>
      <c r="F629" s="2">
        <v>645.71</v>
      </c>
      <c r="G629" s="8">
        <f>Table1[[#This Row],[Quantity]]*Table1[[#This Row],[Price]]</f>
        <v>3874.26</v>
      </c>
    </row>
    <row r="630" spans="1:7" ht="21" customHeight="1" x14ac:dyDescent="0.3">
      <c r="A630" s="3" t="s">
        <v>226</v>
      </c>
      <c r="B630" s="3" t="str">
        <f>TEXT(Table1[[#This Row],[Date]], "YYYY-mm")</f>
        <v>2024-07</v>
      </c>
      <c r="C630" s="4" t="s">
        <v>39</v>
      </c>
      <c r="D630" s="4" t="s">
        <v>8</v>
      </c>
      <c r="E630" s="4">
        <v>9</v>
      </c>
      <c r="F630" s="4">
        <v>2.56</v>
      </c>
      <c r="G630" s="9">
        <f>Table1[[#This Row],[Quantity]]*Table1[[#This Row],[Price]]</f>
        <v>23.04</v>
      </c>
    </row>
    <row r="631" spans="1:7" ht="21" customHeight="1" x14ac:dyDescent="0.3">
      <c r="A631" s="1" t="s">
        <v>170</v>
      </c>
      <c r="B631" s="1" t="str">
        <f>TEXT(Table1[[#This Row],[Date]], "YYYY-mm")</f>
        <v>2024-04</v>
      </c>
      <c r="C631" s="2" t="s">
        <v>34</v>
      </c>
      <c r="D631" s="2" t="s">
        <v>19</v>
      </c>
      <c r="E631" s="2">
        <v>10</v>
      </c>
      <c r="F631" s="2">
        <v>1730.85</v>
      </c>
      <c r="G631" s="8">
        <f>Table1[[#This Row],[Quantity]]*Table1[[#This Row],[Price]]</f>
        <v>17308.5</v>
      </c>
    </row>
    <row r="632" spans="1:7" ht="21" customHeight="1" x14ac:dyDescent="0.3">
      <c r="A632" s="3" t="s">
        <v>240</v>
      </c>
      <c r="B632" s="3" t="str">
        <f>TEXT(Table1[[#This Row],[Date]], "YYYY-mm")</f>
        <v>2024-08</v>
      </c>
      <c r="C632" s="4" t="s">
        <v>34</v>
      </c>
      <c r="D632" s="4" t="s">
        <v>19</v>
      </c>
      <c r="E632" s="4">
        <v>4</v>
      </c>
      <c r="F632" s="4">
        <v>995.69</v>
      </c>
      <c r="G632" s="9">
        <f>Table1[[#This Row],[Quantity]]*Table1[[#This Row],[Price]]</f>
        <v>3982.76</v>
      </c>
    </row>
    <row r="633" spans="1:7" ht="21" customHeight="1" x14ac:dyDescent="0.3">
      <c r="A633" s="1" t="s">
        <v>103</v>
      </c>
      <c r="B633" s="1" t="str">
        <f>TEXT(Table1[[#This Row],[Date]], "YYYY-mm")</f>
        <v>2024-07</v>
      </c>
      <c r="C633" s="2" t="s">
        <v>12</v>
      </c>
      <c r="D633" s="2" t="s">
        <v>13</v>
      </c>
      <c r="E633" s="2">
        <v>2</v>
      </c>
      <c r="F633" s="2">
        <v>327.86</v>
      </c>
      <c r="G633" s="8">
        <f>Table1[[#This Row],[Quantity]]*Table1[[#This Row],[Price]]</f>
        <v>655.72</v>
      </c>
    </row>
    <row r="634" spans="1:7" ht="21" customHeight="1" x14ac:dyDescent="0.3">
      <c r="A634" s="3" t="s">
        <v>316</v>
      </c>
      <c r="B634" s="3" t="str">
        <f>TEXT(Table1[[#This Row],[Date]], "YYYY-mm")</f>
        <v>2024-11</v>
      </c>
      <c r="C634" s="4" t="s">
        <v>12</v>
      </c>
      <c r="D634" s="4" t="s">
        <v>13</v>
      </c>
      <c r="E634" s="4">
        <v>8</v>
      </c>
      <c r="F634" s="4">
        <v>175.52</v>
      </c>
      <c r="G634" s="9">
        <f>Table1[[#This Row],[Quantity]]*Table1[[#This Row],[Price]]</f>
        <v>1404.16</v>
      </c>
    </row>
    <row r="635" spans="1:7" ht="21" customHeight="1" x14ac:dyDescent="0.3">
      <c r="A635" s="1" t="s">
        <v>41</v>
      </c>
      <c r="B635" s="1" t="str">
        <f>TEXT(Table1[[#This Row],[Date]], "YYYY-mm")</f>
        <v>2024-02</v>
      </c>
      <c r="C635" s="2" t="s">
        <v>7</v>
      </c>
      <c r="D635" s="2" t="s">
        <v>8</v>
      </c>
      <c r="E635" s="2">
        <v>6</v>
      </c>
      <c r="F635" s="2">
        <v>62.61</v>
      </c>
      <c r="G635" s="8">
        <f>Table1[[#This Row],[Quantity]]*Table1[[#This Row],[Price]]</f>
        <v>375.65999999999997</v>
      </c>
    </row>
    <row r="636" spans="1:7" ht="21" customHeight="1" x14ac:dyDescent="0.3">
      <c r="A636" s="3" t="s">
        <v>294</v>
      </c>
      <c r="B636" s="3" t="str">
        <f>TEXT(Table1[[#This Row],[Date]], "YYYY-mm")</f>
        <v>2024-12</v>
      </c>
      <c r="C636" s="4" t="s">
        <v>25</v>
      </c>
      <c r="D636" s="4" t="s">
        <v>19</v>
      </c>
      <c r="E636" s="4">
        <v>13</v>
      </c>
      <c r="F636" s="4">
        <v>227.3</v>
      </c>
      <c r="G636" s="9">
        <f>Table1[[#This Row],[Quantity]]*Table1[[#This Row],[Price]]</f>
        <v>2954.9</v>
      </c>
    </row>
    <row r="637" spans="1:7" ht="21" customHeight="1" x14ac:dyDescent="0.3">
      <c r="A637" s="1" t="s">
        <v>233</v>
      </c>
      <c r="B637" s="1" t="str">
        <f>TEXT(Table1[[#This Row],[Date]], "YYYY-mm")</f>
        <v>2024-07</v>
      </c>
      <c r="C637" s="2" t="s">
        <v>15</v>
      </c>
      <c r="D637" s="2" t="s">
        <v>8</v>
      </c>
      <c r="E637" s="2">
        <v>1</v>
      </c>
      <c r="F637" s="2">
        <v>9.2899999999999991</v>
      </c>
      <c r="G637" s="8">
        <f>Table1[[#This Row],[Quantity]]*Table1[[#This Row],[Price]]</f>
        <v>9.2899999999999991</v>
      </c>
    </row>
    <row r="638" spans="1:7" ht="21" customHeight="1" x14ac:dyDescent="0.3">
      <c r="A638" s="3" t="s">
        <v>177</v>
      </c>
      <c r="B638" s="3" t="str">
        <f>TEXT(Table1[[#This Row],[Date]], "YYYY-mm")</f>
        <v>2024-09</v>
      </c>
      <c r="C638" s="4" t="s">
        <v>34</v>
      </c>
      <c r="D638" s="4" t="s">
        <v>19</v>
      </c>
      <c r="E638" s="4">
        <v>10</v>
      </c>
      <c r="F638" s="4">
        <v>960.1</v>
      </c>
      <c r="G638" s="9">
        <f>Table1[[#This Row],[Quantity]]*Table1[[#This Row],[Price]]</f>
        <v>9601</v>
      </c>
    </row>
    <row r="639" spans="1:7" ht="21" customHeight="1" x14ac:dyDescent="0.3">
      <c r="A639" s="1" t="s">
        <v>317</v>
      </c>
      <c r="B639" s="1" t="str">
        <f>TEXT(Table1[[#This Row],[Date]], "YYYY-mm")</f>
        <v>2024-04</v>
      </c>
      <c r="C639" s="2" t="s">
        <v>25</v>
      </c>
      <c r="D639" s="2" t="s">
        <v>19</v>
      </c>
      <c r="E639" s="2">
        <v>2</v>
      </c>
      <c r="F639" s="2">
        <v>1106.6400000000001</v>
      </c>
      <c r="G639" s="8">
        <f>Table1[[#This Row],[Quantity]]*Table1[[#This Row],[Price]]</f>
        <v>2213.2800000000002</v>
      </c>
    </row>
    <row r="640" spans="1:7" ht="21" customHeight="1" x14ac:dyDescent="0.3">
      <c r="A640" s="3" t="s">
        <v>142</v>
      </c>
      <c r="B640" s="3" t="str">
        <f>TEXT(Table1[[#This Row],[Date]], "YYYY-mm")</f>
        <v>2024-03</v>
      </c>
      <c r="C640" s="4" t="s">
        <v>44</v>
      </c>
      <c r="D640" s="4" t="s">
        <v>8</v>
      </c>
      <c r="E640" s="4">
        <v>13</v>
      </c>
      <c r="F640" s="4">
        <v>9.52</v>
      </c>
      <c r="G640" s="9">
        <f>Table1[[#This Row],[Quantity]]*Table1[[#This Row],[Price]]</f>
        <v>123.75999999999999</v>
      </c>
    </row>
    <row r="641" spans="1:7" ht="21" customHeight="1" x14ac:dyDescent="0.3">
      <c r="A641" s="1" t="s">
        <v>318</v>
      </c>
      <c r="B641" s="1" t="str">
        <f>TEXT(Table1[[#This Row],[Date]], "YYYY-mm")</f>
        <v>2024-06</v>
      </c>
      <c r="C641" s="2" t="s">
        <v>27</v>
      </c>
      <c r="D641" s="2" t="s">
        <v>8</v>
      </c>
      <c r="E641" s="2">
        <v>10</v>
      </c>
      <c r="F641" s="2">
        <v>171.81</v>
      </c>
      <c r="G641" s="8">
        <f>Table1[[#This Row],[Quantity]]*Table1[[#This Row],[Price]]</f>
        <v>1718.1</v>
      </c>
    </row>
    <row r="642" spans="1:7" ht="21" customHeight="1" x14ac:dyDescent="0.3">
      <c r="A642" s="3" t="s">
        <v>311</v>
      </c>
      <c r="B642" s="3" t="str">
        <f>TEXT(Table1[[#This Row],[Date]], "YYYY-mm")</f>
        <v>2024-11</v>
      </c>
      <c r="C642" s="4" t="s">
        <v>12</v>
      </c>
      <c r="D642" s="4" t="s">
        <v>13</v>
      </c>
      <c r="E642" s="4">
        <v>15</v>
      </c>
      <c r="F642" s="4">
        <v>380.85</v>
      </c>
      <c r="G642" s="9">
        <f>Table1[[#This Row],[Quantity]]*Table1[[#This Row],[Price]]</f>
        <v>5712.75</v>
      </c>
    </row>
    <row r="643" spans="1:7" ht="21" customHeight="1" x14ac:dyDescent="0.3">
      <c r="A643" s="1" t="s">
        <v>142</v>
      </c>
      <c r="B643" s="1" t="str">
        <f>TEXT(Table1[[#This Row],[Date]], "YYYY-mm")</f>
        <v>2024-03</v>
      </c>
      <c r="C643" s="2" t="s">
        <v>44</v>
      </c>
      <c r="D643" s="2" t="s">
        <v>8</v>
      </c>
      <c r="E643" s="2">
        <v>14</v>
      </c>
      <c r="F643" s="2">
        <v>10.19</v>
      </c>
      <c r="G643" s="8">
        <f>Table1[[#This Row],[Quantity]]*Table1[[#This Row],[Price]]</f>
        <v>142.66</v>
      </c>
    </row>
    <row r="644" spans="1:7" ht="21" customHeight="1" x14ac:dyDescent="0.3">
      <c r="A644" s="3" t="s">
        <v>165</v>
      </c>
      <c r="B644" s="3" t="str">
        <f>TEXT(Table1[[#This Row],[Date]], "YYYY-mm")</f>
        <v>2024-12</v>
      </c>
      <c r="C644" s="4" t="s">
        <v>34</v>
      </c>
      <c r="D644" s="4" t="s">
        <v>19</v>
      </c>
      <c r="E644" s="4">
        <v>2</v>
      </c>
      <c r="F644" s="4">
        <v>1499.93</v>
      </c>
      <c r="G644" s="9">
        <f>Table1[[#This Row],[Quantity]]*Table1[[#This Row],[Price]]</f>
        <v>2999.86</v>
      </c>
    </row>
    <row r="645" spans="1:7" ht="21" customHeight="1" x14ac:dyDescent="0.3">
      <c r="A645" s="1" t="s">
        <v>221</v>
      </c>
      <c r="B645" s="1" t="str">
        <f>TEXT(Table1[[#This Row],[Date]], "YYYY-mm")</f>
        <v>2024-10</v>
      </c>
      <c r="C645" s="2" t="s">
        <v>7</v>
      </c>
      <c r="D645" s="2" t="s">
        <v>8</v>
      </c>
      <c r="E645" s="2">
        <v>3</v>
      </c>
      <c r="F645" s="2">
        <v>78.02</v>
      </c>
      <c r="G645" s="8">
        <f>Table1[[#This Row],[Quantity]]*Table1[[#This Row],[Price]]</f>
        <v>234.06</v>
      </c>
    </row>
    <row r="646" spans="1:7" ht="21" customHeight="1" x14ac:dyDescent="0.3">
      <c r="A646" s="3" t="s">
        <v>319</v>
      </c>
      <c r="B646" s="3" t="str">
        <f>TEXT(Table1[[#This Row],[Date]], "YYYY-mm")</f>
        <v>2024-05</v>
      </c>
      <c r="C646" s="4" t="s">
        <v>27</v>
      </c>
      <c r="D646" s="4" t="s">
        <v>8</v>
      </c>
      <c r="E646" s="4">
        <v>4</v>
      </c>
      <c r="F646" s="4">
        <v>223.28</v>
      </c>
      <c r="G646" s="9">
        <f>Table1[[#This Row],[Quantity]]*Table1[[#This Row],[Price]]</f>
        <v>893.12</v>
      </c>
    </row>
    <row r="647" spans="1:7" ht="21" customHeight="1" x14ac:dyDescent="0.3">
      <c r="A647" s="1" t="s">
        <v>137</v>
      </c>
      <c r="B647" s="1" t="str">
        <f>TEXT(Table1[[#This Row],[Date]], "YYYY-mm")</f>
        <v>2024-12</v>
      </c>
      <c r="C647" s="2" t="s">
        <v>39</v>
      </c>
      <c r="D647" s="2" t="s">
        <v>8</v>
      </c>
      <c r="E647" s="2">
        <v>12</v>
      </c>
      <c r="F647" s="2">
        <v>6.6</v>
      </c>
      <c r="G647" s="8">
        <f>Table1[[#This Row],[Quantity]]*Table1[[#This Row],[Price]]</f>
        <v>79.199999999999989</v>
      </c>
    </row>
    <row r="648" spans="1:7" ht="21" customHeight="1" x14ac:dyDescent="0.3">
      <c r="A648" s="3" t="s">
        <v>28</v>
      </c>
      <c r="B648" s="3" t="str">
        <f>TEXT(Table1[[#This Row],[Date]], "YYYY-mm")</f>
        <v>2024-02</v>
      </c>
      <c r="C648" s="4" t="s">
        <v>39</v>
      </c>
      <c r="D648" s="4" t="s">
        <v>8</v>
      </c>
      <c r="E648" s="4">
        <v>8</v>
      </c>
      <c r="F648" s="4">
        <v>5.19</v>
      </c>
      <c r="G648" s="9">
        <f>Table1[[#This Row],[Quantity]]*Table1[[#This Row],[Price]]</f>
        <v>41.52</v>
      </c>
    </row>
    <row r="649" spans="1:7" ht="21" customHeight="1" x14ac:dyDescent="0.3">
      <c r="A649" s="1" t="s">
        <v>174</v>
      </c>
      <c r="B649" s="1" t="str">
        <f>TEXT(Table1[[#This Row],[Date]], "YYYY-mm")</f>
        <v>2024-10</v>
      </c>
      <c r="C649" s="2" t="s">
        <v>25</v>
      </c>
      <c r="D649" s="2" t="s">
        <v>19</v>
      </c>
      <c r="E649" s="2">
        <v>10</v>
      </c>
      <c r="F649" s="2">
        <v>968.22</v>
      </c>
      <c r="G649" s="8">
        <f>Table1[[#This Row],[Quantity]]*Table1[[#This Row],[Price]]</f>
        <v>9682.2000000000007</v>
      </c>
    </row>
    <row r="650" spans="1:7" ht="21" customHeight="1" x14ac:dyDescent="0.3">
      <c r="A650" s="3" t="s">
        <v>169</v>
      </c>
      <c r="B650" s="3" t="str">
        <f>TEXT(Table1[[#This Row],[Date]], "YYYY-mm")</f>
        <v>2024-10</v>
      </c>
      <c r="C650" s="4" t="s">
        <v>22</v>
      </c>
      <c r="D650" s="4" t="s">
        <v>13</v>
      </c>
      <c r="E650" s="4">
        <v>6</v>
      </c>
      <c r="F650" s="4">
        <v>1779.75</v>
      </c>
      <c r="G650" s="9">
        <f>Table1[[#This Row],[Quantity]]*Table1[[#This Row],[Price]]</f>
        <v>10678.5</v>
      </c>
    </row>
    <row r="651" spans="1:7" ht="21" customHeight="1" x14ac:dyDescent="0.3">
      <c r="A651" s="1" t="s">
        <v>235</v>
      </c>
      <c r="B651" s="1" t="str">
        <f>TEXT(Table1[[#This Row],[Date]], "YYYY-mm")</f>
        <v>2024-09</v>
      </c>
      <c r="C651" s="2" t="s">
        <v>34</v>
      </c>
      <c r="D651" s="2" t="s">
        <v>19</v>
      </c>
      <c r="E651" s="2">
        <v>13</v>
      </c>
      <c r="F651" s="2">
        <v>941.5</v>
      </c>
      <c r="G651" s="8">
        <f>Table1[[#This Row],[Quantity]]*Table1[[#This Row],[Price]]</f>
        <v>12239.5</v>
      </c>
    </row>
    <row r="652" spans="1:7" ht="21" customHeight="1" x14ac:dyDescent="0.3">
      <c r="A652" s="3" t="s">
        <v>206</v>
      </c>
      <c r="B652" s="3" t="str">
        <f>TEXT(Table1[[#This Row],[Date]], "YYYY-mm")</f>
        <v>2024-06</v>
      </c>
      <c r="C652" s="4" t="s">
        <v>44</v>
      </c>
      <c r="D652" s="4" t="s">
        <v>8</v>
      </c>
      <c r="E652" s="4">
        <v>2</v>
      </c>
      <c r="F652" s="4">
        <v>7.33</v>
      </c>
      <c r="G652" s="9">
        <f>Table1[[#This Row],[Quantity]]*Table1[[#This Row],[Price]]</f>
        <v>14.66</v>
      </c>
    </row>
    <row r="653" spans="1:7" ht="21" customHeight="1" x14ac:dyDescent="0.3">
      <c r="A653" s="1" t="s">
        <v>283</v>
      </c>
      <c r="B653" s="1" t="str">
        <f>TEXT(Table1[[#This Row],[Date]], "YYYY-mm")</f>
        <v>2024-03</v>
      </c>
      <c r="C653" s="2" t="s">
        <v>12</v>
      </c>
      <c r="D653" s="2" t="s">
        <v>13</v>
      </c>
      <c r="E653" s="2">
        <v>2</v>
      </c>
      <c r="F653" s="2">
        <v>291.52</v>
      </c>
      <c r="G653" s="8">
        <f>Table1[[#This Row],[Quantity]]*Table1[[#This Row],[Price]]</f>
        <v>583.04</v>
      </c>
    </row>
    <row r="654" spans="1:7" ht="21" customHeight="1" x14ac:dyDescent="0.3">
      <c r="A654" s="3" t="s">
        <v>320</v>
      </c>
      <c r="B654" s="3" t="str">
        <f>TEXT(Table1[[#This Row],[Date]], "YYYY-mm")</f>
        <v>2024-02</v>
      </c>
      <c r="C654" s="4" t="s">
        <v>25</v>
      </c>
      <c r="D654" s="4" t="s">
        <v>19</v>
      </c>
      <c r="E654" s="4">
        <v>1</v>
      </c>
      <c r="F654" s="4">
        <v>1010.87</v>
      </c>
      <c r="G654" s="9">
        <f>Table1[[#This Row],[Quantity]]*Table1[[#This Row],[Price]]</f>
        <v>1010.87</v>
      </c>
    </row>
    <row r="655" spans="1:7" ht="21" customHeight="1" x14ac:dyDescent="0.3">
      <c r="A655" s="1" t="s">
        <v>321</v>
      </c>
      <c r="B655" s="1" t="str">
        <f>TEXT(Table1[[#This Row],[Date]], "YYYY-mm")</f>
        <v>2024-05</v>
      </c>
      <c r="C655" s="2" t="s">
        <v>27</v>
      </c>
      <c r="D655" s="2" t="s">
        <v>8</v>
      </c>
      <c r="E655" s="2">
        <v>7</v>
      </c>
      <c r="F655" s="2">
        <v>160.41999999999999</v>
      </c>
      <c r="G655" s="8">
        <f>Table1[[#This Row],[Quantity]]*Table1[[#This Row],[Price]]</f>
        <v>1122.9399999999998</v>
      </c>
    </row>
    <row r="656" spans="1:7" ht="21" customHeight="1" x14ac:dyDescent="0.3">
      <c r="A656" s="3" t="s">
        <v>321</v>
      </c>
      <c r="B656" s="3" t="str">
        <f>TEXT(Table1[[#This Row],[Date]], "YYYY-mm")</f>
        <v>2024-05</v>
      </c>
      <c r="C656" s="4" t="s">
        <v>15</v>
      </c>
      <c r="D656" s="4" t="s">
        <v>8</v>
      </c>
      <c r="E656" s="4">
        <v>7</v>
      </c>
      <c r="F656" s="4">
        <v>5.72</v>
      </c>
      <c r="G656" s="9">
        <f>Table1[[#This Row],[Quantity]]*Table1[[#This Row],[Price]]</f>
        <v>40.04</v>
      </c>
    </row>
    <row r="657" spans="1:7" ht="21" customHeight="1" x14ac:dyDescent="0.3">
      <c r="A657" s="1" t="s">
        <v>46</v>
      </c>
      <c r="B657" s="1" t="str">
        <f>TEXT(Table1[[#This Row],[Date]], "YYYY-mm")</f>
        <v>2024-05</v>
      </c>
      <c r="C657" s="2" t="s">
        <v>12</v>
      </c>
      <c r="D657" s="2" t="s">
        <v>13</v>
      </c>
      <c r="E657" s="2">
        <v>4</v>
      </c>
      <c r="F657" s="2">
        <v>517.04999999999995</v>
      </c>
      <c r="G657" s="8">
        <f>Table1[[#This Row],[Quantity]]*Table1[[#This Row],[Price]]</f>
        <v>2068.1999999999998</v>
      </c>
    </row>
    <row r="658" spans="1:7" ht="21" customHeight="1" x14ac:dyDescent="0.3">
      <c r="A658" s="3" t="s">
        <v>322</v>
      </c>
      <c r="B658" s="3" t="str">
        <f>TEXT(Table1[[#This Row],[Date]], "YYYY-mm")</f>
        <v>2024-07</v>
      </c>
      <c r="C658" s="4" t="s">
        <v>29</v>
      </c>
      <c r="D658" s="4" t="s">
        <v>19</v>
      </c>
      <c r="E658" s="4">
        <v>9</v>
      </c>
      <c r="F658" s="4">
        <v>2270.2800000000002</v>
      </c>
      <c r="G658" s="9">
        <f>Table1[[#This Row],[Quantity]]*Table1[[#This Row],[Price]]</f>
        <v>20432.52</v>
      </c>
    </row>
    <row r="659" spans="1:7" ht="21" customHeight="1" x14ac:dyDescent="0.3">
      <c r="A659" s="1" t="s">
        <v>118</v>
      </c>
      <c r="B659" s="1" t="str">
        <f>TEXT(Table1[[#This Row],[Date]], "YYYY-mm")</f>
        <v>2024-06</v>
      </c>
      <c r="C659" s="2" t="s">
        <v>27</v>
      </c>
      <c r="D659" s="2" t="s">
        <v>8</v>
      </c>
      <c r="E659" s="2">
        <v>5</v>
      </c>
      <c r="F659" s="2">
        <v>190.73</v>
      </c>
      <c r="G659" s="8">
        <f>Table1[[#This Row],[Quantity]]*Table1[[#This Row],[Price]]</f>
        <v>953.65</v>
      </c>
    </row>
    <row r="660" spans="1:7" ht="21" customHeight="1" x14ac:dyDescent="0.3">
      <c r="A660" s="3" t="s">
        <v>41</v>
      </c>
      <c r="B660" s="3" t="str">
        <f>TEXT(Table1[[#This Row],[Date]], "YYYY-mm")</f>
        <v>2024-02</v>
      </c>
      <c r="C660" s="4" t="s">
        <v>39</v>
      </c>
      <c r="D660" s="4" t="s">
        <v>8</v>
      </c>
      <c r="E660" s="4">
        <v>6</v>
      </c>
      <c r="F660" s="4">
        <v>5.27</v>
      </c>
      <c r="G660" s="9">
        <f>Table1[[#This Row],[Quantity]]*Table1[[#This Row],[Price]]</f>
        <v>31.619999999999997</v>
      </c>
    </row>
    <row r="661" spans="1:7" ht="21" customHeight="1" x14ac:dyDescent="0.3">
      <c r="A661" s="1" t="s">
        <v>321</v>
      </c>
      <c r="B661" s="1" t="str">
        <f>TEXT(Table1[[#This Row],[Date]], "YYYY-mm")</f>
        <v>2024-05</v>
      </c>
      <c r="C661" s="2" t="s">
        <v>34</v>
      </c>
      <c r="D661" s="2" t="s">
        <v>19</v>
      </c>
      <c r="E661" s="2">
        <v>2</v>
      </c>
      <c r="F661" s="2">
        <v>481.82</v>
      </c>
      <c r="G661" s="8">
        <f>Table1[[#This Row],[Quantity]]*Table1[[#This Row],[Price]]</f>
        <v>963.64</v>
      </c>
    </row>
    <row r="662" spans="1:7" ht="21" customHeight="1" x14ac:dyDescent="0.3">
      <c r="A662" s="3" t="s">
        <v>236</v>
      </c>
      <c r="B662" s="3" t="str">
        <f>TEXT(Table1[[#This Row],[Date]], "YYYY-mm")</f>
        <v>2024-09</v>
      </c>
      <c r="C662" s="4" t="s">
        <v>29</v>
      </c>
      <c r="D662" s="4" t="s">
        <v>19</v>
      </c>
      <c r="E662" s="4">
        <v>14</v>
      </c>
      <c r="F662" s="4">
        <v>1715.62</v>
      </c>
      <c r="G662" s="9">
        <f>Table1[[#This Row],[Quantity]]*Table1[[#This Row],[Price]]</f>
        <v>24018.68</v>
      </c>
    </row>
    <row r="663" spans="1:7" ht="21" customHeight="1" x14ac:dyDescent="0.3">
      <c r="A663" s="1" t="s">
        <v>315</v>
      </c>
      <c r="B663" s="1" t="str">
        <f>TEXT(Table1[[#This Row],[Date]], "YYYY-mm")</f>
        <v>2024-07</v>
      </c>
      <c r="C663" s="2" t="s">
        <v>10</v>
      </c>
      <c r="D663" s="2" t="s">
        <v>8</v>
      </c>
      <c r="E663" s="2">
        <v>3</v>
      </c>
      <c r="F663" s="2">
        <v>63.87</v>
      </c>
      <c r="G663" s="8">
        <f>Table1[[#This Row],[Quantity]]*Table1[[#This Row],[Price]]</f>
        <v>191.60999999999999</v>
      </c>
    </row>
    <row r="664" spans="1:7" ht="21" customHeight="1" x14ac:dyDescent="0.3">
      <c r="A664" s="3" t="s">
        <v>103</v>
      </c>
      <c r="B664" s="3" t="str">
        <f>TEXT(Table1[[#This Row],[Date]], "YYYY-mm")</f>
        <v>2024-07</v>
      </c>
      <c r="C664" s="4" t="s">
        <v>7</v>
      </c>
      <c r="D664" s="4" t="s">
        <v>8</v>
      </c>
      <c r="E664" s="4">
        <v>6</v>
      </c>
      <c r="F664" s="4">
        <v>74.62</v>
      </c>
      <c r="G664" s="9">
        <f>Table1[[#This Row],[Quantity]]*Table1[[#This Row],[Price]]</f>
        <v>447.72</v>
      </c>
    </row>
    <row r="665" spans="1:7" ht="21" customHeight="1" x14ac:dyDescent="0.3">
      <c r="A665" s="1" t="s">
        <v>49</v>
      </c>
      <c r="B665" s="1" t="str">
        <f>TEXT(Table1[[#This Row],[Date]], "YYYY-mm")</f>
        <v>2024-01</v>
      </c>
      <c r="C665" s="2" t="s">
        <v>22</v>
      </c>
      <c r="D665" s="2" t="s">
        <v>13</v>
      </c>
      <c r="E665" s="2">
        <v>13</v>
      </c>
      <c r="F665" s="2">
        <v>907.55</v>
      </c>
      <c r="G665" s="8">
        <f>Table1[[#This Row],[Quantity]]*Table1[[#This Row],[Price]]</f>
        <v>11798.15</v>
      </c>
    </row>
    <row r="666" spans="1:7" ht="21" customHeight="1" x14ac:dyDescent="0.3">
      <c r="A666" s="3" t="s">
        <v>163</v>
      </c>
      <c r="B666" s="3" t="str">
        <f>TEXT(Table1[[#This Row],[Date]], "YYYY-mm")</f>
        <v>2024-05</v>
      </c>
      <c r="C666" s="4" t="s">
        <v>27</v>
      </c>
      <c r="D666" s="4" t="s">
        <v>8</v>
      </c>
      <c r="E666" s="4">
        <v>3</v>
      </c>
      <c r="F666" s="4">
        <v>140.12</v>
      </c>
      <c r="G666" s="9">
        <f>Table1[[#This Row],[Quantity]]*Table1[[#This Row],[Price]]</f>
        <v>420.36</v>
      </c>
    </row>
    <row r="667" spans="1:7" ht="21" customHeight="1" x14ac:dyDescent="0.3">
      <c r="A667" s="1" t="s">
        <v>323</v>
      </c>
      <c r="B667" s="1" t="str">
        <f>TEXT(Table1[[#This Row],[Date]], "YYYY-mm")</f>
        <v>2024-10</v>
      </c>
      <c r="C667" s="2" t="s">
        <v>10</v>
      </c>
      <c r="D667" s="2" t="s">
        <v>8</v>
      </c>
      <c r="E667" s="2">
        <v>6</v>
      </c>
      <c r="F667" s="2">
        <v>82.68</v>
      </c>
      <c r="G667" s="8">
        <f>Table1[[#This Row],[Quantity]]*Table1[[#This Row],[Price]]</f>
        <v>496.08000000000004</v>
      </c>
    </row>
    <row r="668" spans="1:7" ht="21" customHeight="1" x14ac:dyDescent="0.3">
      <c r="A668" s="3" t="s">
        <v>82</v>
      </c>
      <c r="B668" s="3" t="str">
        <f>TEXT(Table1[[#This Row],[Date]], "YYYY-mm")</f>
        <v>2024-06</v>
      </c>
      <c r="C668" s="4" t="s">
        <v>10</v>
      </c>
      <c r="D668" s="4" t="s">
        <v>8</v>
      </c>
      <c r="E668" s="4">
        <v>7</v>
      </c>
      <c r="F668" s="4">
        <v>53.96</v>
      </c>
      <c r="G668" s="9">
        <f>Table1[[#This Row],[Quantity]]*Table1[[#This Row],[Price]]</f>
        <v>377.72</v>
      </c>
    </row>
    <row r="669" spans="1:7" ht="21" customHeight="1" x14ac:dyDescent="0.3">
      <c r="A669" s="1" t="s">
        <v>322</v>
      </c>
      <c r="B669" s="1" t="str">
        <f>TEXT(Table1[[#This Row],[Date]], "YYYY-mm")</f>
        <v>2024-07</v>
      </c>
      <c r="C669" s="2" t="s">
        <v>12</v>
      </c>
      <c r="D669" s="2" t="s">
        <v>13</v>
      </c>
      <c r="E669" s="2">
        <v>2</v>
      </c>
      <c r="F669" s="2">
        <v>540.91999999999996</v>
      </c>
      <c r="G669" s="8">
        <f>Table1[[#This Row],[Quantity]]*Table1[[#This Row],[Price]]</f>
        <v>1081.8399999999999</v>
      </c>
    </row>
    <row r="670" spans="1:7" ht="21" customHeight="1" x14ac:dyDescent="0.3">
      <c r="A670" s="3" t="s">
        <v>158</v>
      </c>
      <c r="B670" s="3" t="str">
        <f>TEXT(Table1[[#This Row],[Date]], "YYYY-mm")</f>
        <v>2024-12</v>
      </c>
      <c r="C670" s="4" t="s">
        <v>18</v>
      </c>
      <c r="D670" s="4" t="s">
        <v>19</v>
      </c>
      <c r="E670" s="4">
        <v>8</v>
      </c>
      <c r="F670" s="4">
        <v>422.18</v>
      </c>
      <c r="G670" s="9">
        <f>Table1[[#This Row],[Quantity]]*Table1[[#This Row],[Price]]</f>
        <v>3377.44</v>
      </c>
    </row>
    <row r="671" spans="1:7" ht="21" customHeight="1" x14ac:dyDescent="0.3">
      <c r="A671" s="1" t="s">
        <v>324</v>
      </c>
      <c r="B671" s="1" t="str">
        <f>TEXT(Table1[[#This Row],[Date]], "YYYY-mm")</f>
        <v>2024-11</v>
      </c>
      <c r="C671" s="2" t="s">
        <v>18</v>
      </c>
      <c r="D671" s="2" t="s">
        <v>19</v>
      </c>
      <c r="E671" s="2">
        <v>3</v>
      </c>
      <c r="F671" s="2">
        <v>729.36</v>
      </c>
      <c r="G671" s="8">
        <f>Table1[[#This Row],[Quantity]]*Table1[[#This Row],[Price]]</f>
        <v>2188.08</v>
      </c>
    </row>
    <row r="672" spans="1:7" ht="21" customHeight="1" x14ac:dyDescent="0.3">
      <c r="A672" s="3" t="s">
        <v>117</v>
      </c>
      <c r="B672" s="3" t="str">
        <f>TEXT(Table1[[#This Row],[Date]], "YYYY-mm")</f>
        <v>2024-11</v>
      </c>
      <c r="C672" s="4" t="s">
        <v>15</v>
      </c>
      <c r="D672" s="4" t="s">
        <v>8</v>
      </c>
      <c r="E672" s="4">
        <v>4</v>
      </c>
      <c r="F672" s="4">
        <v>8.6199999999999992</v>
      </c>
      <c r="G672" s="9">
        <f>Table1[[#This Row],[Quantity]]*Table1[[#This Row],[Price]]</f>
        <v>34.479999999999997</v>
      </c>
    </row>
    <row r="673" spans="1:7" ht="21" customHeight="1" x14ac:dyDescent="0.3">
      <c r="A673" s="1" t="s">
        <v>52</v>
      </c>
      <c r="B673" s="1" t="str">
        <f>TEXT(Table1[[#This Row],[Date]], "YYYY-mm")</f>
        <v>2024-12</v>
      </c>
      <c r="C673" s="2" t="s">
        <v>12</v>
      </c>
      <c r="D673" s="2" t="s">
        <v>13</v>
      </c>
      <c r="E673" s="2">
        <v>11</v>
      </c>
      <c r="F673" s="2">
        <v>470.86</v>
      </c>
      <c r="G673" s="8">
        <f>Table1[[#This Row],[Quantity]]*Table1[[#This Row],[Price]]</f>
        <v>5179.46</v>
      </c>
    </row>
    <row r="674" spans="1:7" ht="21" customHeight="1" x14ac:dyDescent="0.3">
      <c r="A674" s="3" t="s">
        <v>230</v>
      </c>
      <c r="B674" s="3" t="str">
        <f>TEXT(Table1[[#This Row],[Date]], "YYYY-mm")</f>
        <v>2024-04</v>
      </c>
      <c r="C674" s="4" t="s">
        <v>22</v>
      </c>
      <c r="D674" s="4" t="s">
        <v>13</v>
      </c>
      <c r="E674" s="4">
        <v>11</v>
      </c>
      <c r="F674" s="4">
        <v>1964.45</v>
      </c>
      <c r="G674" s="9">
        <f>Table1[[#This Row],[Quantity]]*Table1[[#This Row],[Price]]</f>
        <v>21608.95</v>
      </c>
    </row>
    <row r="675" spans="1:7" ht="21" customHeight="1" x14ac:dyDescent="0.3">
      <c r="A675" s="1" t="s">
        <v>158</v>
      </c>
      <c r="B675" s="1" t="str">
        <f>TEXT(Table1[[#This Row],[Date]], "YYYY-mm")</f>
        <v>2024-12</v>
      </c>
      <c r="C675" s="2" t="s">
        <v>22</v>
      </c>
      <c r="D675" s="2" t="s">
        <v>13</v>
      </c>
      <c r="E675" s="2">
        <v>4</v>
      </c>
      <c r="F675" s="2">
        <v>1615.32</v>
      </c>
      <c r="G675" s="8">
        <f>Table1[[#This Row],[Quantity]]*Table1[[#This Row],[Price]]</f>
        <v>6461.28</v>
      </c>
    </row>
    <row r="676" spans="1:7" ht="21" customHeight="1" x14ac:dyDescent="0.3">
      <c r="A676" s="3" t="s">
        <v>325</v>
      </c>
      <c r="B676" s="3" t="str">
        <f>TEXT(Table1[[#This Row],[Date]], "YYYY-mm")</f>
        <v>2024-04</v>
      </c>
      <c r="C676" s="4" t="s">
        <v>29</v>
      </c>
      <c r="D676" s="4" t="s">
        <v>19</v>
      </c>
      <c r="E676" s="4">
        <v>1</v>
      </c>
      <c r="F676" s="4">
        <v>739.89</v>
      </c>
      <c r="G676" s="9">
        <f>Table1[[#This Row],[Quantity]]*Table1[[#This Row],[Price]]</f>
        <v>739.89</v>
      </c>
    </row>
    <row r="677" spans="1:7" ht="21" customHeight="1" x14ac:dyDescent="0.3">
      <c r="A677" s="1" t="s">
        <v>307</v>
      </c>
      <c r="B677" s="1" t="str">
        <f>TEXT(Table1[[#This Row],[Date]], "YYYY-mm")</f>
        <v>2024-09</v>
      </c>
      <c r="C677" s="2" t="s">
        <v>44</v>
      </c>
      <c r="D677" s="2" t="s">
        <v>8</v>
      </c>
      <c r="E677" s="2">
        <v>11</v>
      </c>
      <c r="F677" s="2">
        <v>7.9</v>
      </c>
      <c r="G677" s="8">
        <f>Table1[[#This Row],[Quantity]]*Table1[[#This Row],[Price]]</f>
        <v>86.9</v>
      </c>
    </row>
    <row r="678" spans="1:7" ht="21" customHeight="1" x14ac:dyDescent="0.3">
      <c r="A678" s="3" t="s">
        <v>326</v>
      </c>
      <c r="B678" s="3" t="str">
        <f>TEXT(Table1[[#This Row],[Date]], "YYYY-mm")</f>
        <v>2024-12</v>
      </c>
      <c r="C678" s="4" t="s">
        <v>39</v>
      </c>
      <c r="D678" s="4" t="s">
        <v>8</v>
      </c>
      <c r="E678" s="4">
        <v>6</v>
      </c>
      <c r="F678" s="4">
        <v>7.23</v>
      </c>
      <c r="G678" s="9">
        <f>Table1[[#This Row],[Quantity]]*Table1[[#This Row],[Price]]</f>
        <v>43.38</v>
      </c>
    </row>
    <row r="679" spans="1:7" ht="21" customHeight="1" x14ac:dyDescent="0.3">
      <c r="A679" s="1" t="s">
        <v>278</v>
      </c>
      <c r="B679" s="1" t="str">
        <f>TEXT(Table1[[#This Row],[Date]], "YYYY-mm")</f>
        <v>2024-08</v>
      </c>
      <c r="C679" s="2" t="s">
        <v>12</v>
      </c>
      <c r="D679" s="2" t="s">
        <v>13</v>
      </c>
      <c r="E679" s="2">
        <v>4</v>
      </c>
      <c r="F679" s="2">
        <v>547.02</v>
      </c>
      <c r="G679" s="8">
        <f>Table1[[#This Row],[Quantity]]*Table1[[#This Row],[Price]]</f>
        <v>2188.08</v>
      </c>
    </row>
    <row r="680" spans="1:7" ht="21" customHeight="1" x14ac:dyDescent="0.3">
      <c r="A680" s="3" t="s">
        <v>71</v>
      </c>
      <c r="B680" s="3" t="str">
        <f>TEXT(Table1[[#This Row],[Date]], "YYYY-mm")</f>
        <v>2024-02</v>
      </c>
      <c r="C680" s="4" t="s">
        <v>10</v>
      </c>
      <c r="D680" s="4" t="s">
        <v>8</v>
      </c>
      <c r="E680" s="4">
        <v>3</v>
      </c>
      <c r="F680" s="4">
        <v>71.36</v>
      </c>
      <c r="G680" s="9">
        <f>Table1[[#This Row],[Quantity]]*Table1[[#This Row],[Price]]</f>
        <v>214.07999999999998</v>
      </c>
    </row>
    <row r="681" spans="1:7" ht="21" customHeight="1" x14ac:dyDescent="0.3">
      <c r="A681" s="1" t="s">
        <v>205</v>
      </c>
      <c r="B681" s="1" t="str">
        <f>TEXT(Table1[[#This Row],[Date]], "YYYY-mm")</f>
        <v>2024-03</v>
      </c>
      <c r="C681" s="2" t="s">
        <v>10</v>
      </c>
      <c r="D681" s="2" t="s">
        <v>8</v>
      </c>
      <c r="E681" s="2">
        <v>5</v>
      </c>
      <c r="F681" s="2">
        <v>85.06</v>
      </c>
      <c r="G681" s="8">
        <f>Table1[[#This Row],[Quantity]]*Table1[[#This Row],[Price]]</f>
        <v>425.3</v>
      </c>
    </row>
    <row r="682" spans="1:7" ht="21" customHeight="1" x14ac:dyDescent="0.3">
      <c r="A682" s="3" t="s">
        <v>253</v>
      </c>
      <c r="B682" s="3" t="str">
        <f>TEXT(Table1[[#This Row],[Date]], "YYYY-mm")</f>
        <v>2024-01</v>
      </c>
      <c r="C682" s="4" t="s">
        <v>12</v>
      </c>
      <c r="D682" s="4" t="s">
        <v>13</v>
      </c>
      <c r="E682" s="4">
        <v>5</v>
      </c>
      <c r="F682" s="4">
        <v>161.22</v>
      </c>
      <c r="G682" s="9">
        <f>Table1[[#This Row],[Quantity]]*Table1[[#This Row],[Price]]</f>
        <v>806.1</v>
      </c>
    </row>
    <row r="683" spans="1:7" ht="21" customHeight="1" x14ac:dyDescent="0.3">
      <c r="A683" s="1" t="s">
        <v>313</v>
      </c>
      <c r="B683" s="1" t="str">
        <f>TEXT(Table1[[#This Row],[Date]], "YYYY-mm")</f>
        <v>2024-04</v>
      </c>
      <c r="C683" s="2" t="s">
        <v>25</v>
      </c>
      <c r="D683" s="2" t="s">
        <v>19</v>
      </c>
      <c r="E683" s="2">
        <v>11</v>
      </c>
      <c r="F683" s="2">
        <v>200.7</v>
      </c>
      <c r="G683" s="8">
        <f>Table1[[#This Row],[Quantity]]*Table1[[#This Row],[Price]]</f>
        <v>2207.6999999999998</v>
      </c>
    </row>
    <row r="684" spans="1:7" ht="21" customHeight="1" x14ac:dyDescent="0.3">
      <c r="A684" s="3" t="s">
        <v>327</v>
      </c>
      <c r="B684" s="3" t="str">
        <f>TEXT(Table1[[#This Row],[Date]], "YYYY-mm")</f>
        <v>2024-10</v>
      </c>
      <c r="C684" s="4" t="s">
        <v>7</v>
      </c>
      <c r="D684" s="4" t="s">
        <v>8</v>
      </c>
      <c r="E684" s="4">
        <v>14</v>
      </c>
      <c r="F684" s="4">
        <v>50.74</v>
      </c>
      <c r="G684" s="9">
        <f>Table1[[#This Row],[Quantity]]*Table1[[#This Row],[Price]]</f>
        <v>710.36</v>
      </c>
    </row>
    <row r="685" spans="1:7" ht="21" customHeight="1" x14ac:dyDescent="0.3">
      <c r="A685" s="1" t="s">
        <v>23</v>
      </c>
      <c r="B685" s="1" t="str">
        <f>TEXT(Table1[[#This Row],[Date]], "YYYY-mm")</f>
        <v>2024-05</v>
      </c>
      <c r="C685" s="2" t="s">
        <v>34</v>
      </c>
      <c r="D685" s="2" t="s">
        <v>19</v>
      </c>
      <c r="E685" s="2">
        <v>11</v>
      </c>
      <c r="F685" s="2">
        <v>1668.1</v>
      </c>
      <c r="G685" s="8">
        <f>Table1[[#This Row],[Quantity]]*Table1[[#This Row],[Price]]</f>
        <v>18349.099999999999</v>
      </c>
    </row>
    <row r="686" spans="1:7" ht="21" customHeight="1" x14ac:dyDescent="0.3">
      <c r="A686" s="3" t="s">
        <v>286</v>
      </c>
      <c r="B686" s="3" t="str">
        <f>TEXT(Table1[[#This Row],[Date]], "YYYY-mm")</f>
        <v>2024-03</v>
      </c>
      <c r="C686" s="4" t="s">
        <v>39</v>
      </c>
      <c r="D686" s="4" t="s">
        <v>8</v>
      </c>
      <c r="E686" s="4">
        <v>4</v>
      </c>
      <c r="F686" s="4">
        <v>4.92</v>
      </c>
      <c r="G686" s="9">
        <f>Table1[[#This Row],[Quantity]]*Table1[[#This Row],[Price]]</f>
        <v>19.68</v>
      </c>
    </row>
    <row r="687" spans="1:7" ht="21" customHeight="1" x14ac:dyDescent="0.3">
      <c r="A687" s="1" t="s">
        <v>328</v>
      </c>
      <c r="B687" s="1" t="str">
        <f>TEXT(Table1[[#This Row],[Date]], "YYYY-mm")</f>
        <v>2024-12</v>
      </c>
      <c r="C687" s="2" t="s">
        <v>29</v>
      </c>
      <c r="D687" s="2" t="s">
        <v>19</v>
      </c>
      <c r="E687" s="2">
        <v>10</v>
      </c>
      <c r="F687" s="2">
        <v>2245.67</v>
      </c>
      <c r="G687" s="8">
        <f>Table1[[#This Row],[Quantity]]*Table1[[#This Row],[Price]]</f>
        <v>22456.7</v>
      </c>
    </row>
    <row r="688" spans="1:7" ht="21" customHeight="1" x14ac:dyDescent="0.3">
      <c r="A688" s="3" t="s">
        <v>121</v>
      </c>
      <c r="B688" s="3" t="str">
        <f>TEXT(Table1[[#This Row],[Date]], "YYYY-mm")</f>
        <v>2024-11</v>
      </c>
      <c r="C688" s="4" t="s">
        <v>12</v>
      </c>
      <c r="D688" s="4" t="s">
        <v>13</v>
      </c>
      <c r="E688" s="4">
        <v>11</v>
      </c>
      <c r="F688" s="4">
        <v>539.42999999999995</v>
      </c>
      <c r="G688" s="9">
        <f>Table1[[#This Row],[Quantity]]*Table1[[#This Row],[Price]]</f>
        <v>5933.73</v>
      </c>
    </row>
    <row r="689" spans="1:7" ht="21" customHeight="1" x14ac:dyDescent="0.3">
      <c r="A689" s="1" t="s">
        <v>151</v>
      </c>
      <c r="B689" s="1" t="str">
        <f>TEXT(Table1[[#This Row],[Date]], "YYYY-mm")</f>
        <v>2024-10</v>
      </c>
      <c r="C689" s="2" t="s">
        <v>12</v>
      </c>
      <c r="D689" s="2" t="s">
        <v>13</v>
      </c>
      <c r="E689" s="2">
        <v>14</v>
      </c>
      <c r="F689" s="2">
        <v>348.53</v>
      </c>
      <c r="G689" s="8">
        <f>Table1[[#This Row],[Quantity]]*Table1[[#This Row],[Price]]</f>
        <v>4879.42</v>
      </c>
    </row>
    <row r="690" spans="1:7" ht="21" customHeight="1" x14ac:dyDescent="0.3">
      <c r="A690" s="3" t="s">
        <v>319</v>
      </c>
      <c r="B690" s="3" t="str">
        <f>TEXT(Table1[[#This Row],[Date]], "YYYY-mm")</f>
        <v>2024-05</v>
      </c>
      <c r="C690" s="4" t="s">
        <v>15</v>
      </c>
      <c r="D690" s="4" t="s">
        <v>8</v>
      </c>
      <c r="E690" s="4">
        <v>7</v>
      </c>
      <c r="F690" s="4">
        <v>3.94</v>
      </c>
      <c r="G690" s="9">
        <f>Table1[[#This Row],[Quantity]]*Table1[[#This Row],[Price]]</f>
        <v>27.58</v>
      </c>
    </row>
    <row r="691" spans="1:7" ht="21" customHeight="1" x14ac:dyDescent="0.3">
      <c r="A691" s="1" t="s">
        <v>329</v>
      </c>
      <c r="B691" s="1" t="str">
        <f>TEXT(Table1[[#This Row],[Date]], "YYYY-mm")</f>
        <v>2024-02</v>
      </c>
      <c r="C691" s="2" t="s">
        <v>10</v>
      </c>
      <c r="D691" s="2" t="s">
        <v>8</v>
      </c>
      <c r="E691" s="2">
        <v>14</v>
      </c>
      <c r="F691" s="2">
        <v>65.069999999999993</v>
      </c>
      <c r="G691" s="8">
        <f>Table1[[#This Row],[Quantity]]*Table1[[#This Row],[Price]]</f>
        <v>910.9799999999999</v>
      </c>
    </row>
    <row r="692" spans="1:7" ht="21" customHeight="1" x14ac:dyDescent="0.3">
      <c r="A692" s="3" t="s">
        <v>122</v>
      </c>
      <c r="B692" s="3" t="str">
        <f>TEXT(Table1[[#This Row],[Date]], "YYYY-mm")</f>
        <v>2024-08</v>
      </c>
      <c r="C692" s="4" t="s">
        <v>15</v>
      </c>
      <c r="D692" s="4" t="s">
        <v>8</v>
      </c>
      <c r="E692" s="4">
        <v>12</v>
      </c>
      <c r="F692" s="4">
        <v>3.76</v>
      </c>
      <c r="G692" s="9">
        <f>Table1[[#This Row],[Quantity]]*Table1[[#This Row],[Price]]</f>
        <v>45.12</v>
      </c>
    </row>
    <row r="693" spans="1:7" ht="21" customHeight="1" x14ac:dyDescent="0.3">
      <c r="A693" s="1" t="s">
        <v>330</v>
      </c>
      <c r="B693" s="1" t="str">
        <f>TEXT(Table1[[#This Row],[Date]], "YYYY-mm")</f>
        <v>2024-11</v>
      </c>
      <c r="C693" s="2" t="s">
        <v>34</v>
      </c>
      <c r="D693" s="2" t="s">
        <v>19</v>
      </c>
      <c r="E693" s="2">
        <v>9</v>
      </c>
      <c r="F693" s="2">
        <v>1553.52</v>
      </c>
      <c r="G693" s="8">
        <f>Table1[[#This Row],[Quantity]]*Table1[[#This Row],[Price]]</f>
        <v>13981.68</v>
      </c>
    </row>
    <row r="694" spans="1:7" ht="21" customHeight="1" x14ac:dyDescent="0.3">
      <c r="A694" s="3" t="s">
        <v>30</v>
      </c>
      <c r="B694" s="3" t="str">
        <f>TEXT(Table1[[#This Row],[Date]], "YYYY-mm")</f>
        <v>2024-06</v>
      </c>
      <c r="C694" s="4" t="s">
        <v>39</v>
      </c>
      <c r="D694" s="4" t="s">
        <v>8</v>
      </c>
      <c r="E694" s="4">
        <v>4</v>
      </c>
      <c r="F694" s="4">
        <v>2.71</v>
      </c>
      <c r="G694" s="9">
        <f>Table1[[#This Row],[Quantity]]*Table1[[#This Row],[Price]]</f>
        <v>10.84</v>
      </c>
    </row>
    <row r="695" spans="1:7" ht="21" customHeight="1" x14ac:dyDescent="0.3">
      <c r="A695" s="1" t="s">
        <v>144</v>
      </c>
      <c r="B695" s="1" t="str">
        <f>TEXT(Table1[[#This Row],[Date]], "YYYY-mm")</f>
        <v>2024-01</v>
      </c>
      <c r="C695" s="2" t="s">
        <v>10</v>
      </c>
      <c r="D695" s="2" t="s">
        <v>8</v>
      </c>
      <c r="E695" s="2">
        <v>15</v>
      </c>
      <c r="F695" s="2">
        <v>76.98</v>
      </c>
      <c r="G695" s="8">
        <f>Table1[[#This Row],[Quantity]]*Table1[[#This Row],[Price]]</f>
        <v>1154.7</v>
      </c>
    </row>
    <row r="696" spans="1:7" ht="21" customHeight="1" x14ac:dyDescent="0.3">
      <c r="A696" s="3" t="s">
        <v>185</v>
      </c>
      <c r="B696" s="3" t="str">
        <f>TEXT(Table1[[#This Row],[Date]], "YYYY-mm")</f>
        <v>2024-01</v>
      </c>
      <c r="C696" s="4" t="s">
        <v>18</v>
      </c>
      <c r="D696" s="4" t="s">
        <v>19</v>
      </c>
      <c r="E696" s="4">
        <v>12</v>
      </c>
      <c r="F696" s="4">
        <v>794.41</v>
      </c>
      <c r="G696" s="9">
        <f>Table1[[#This Row],[Quantity]]*Table1[[#This Row],[Price]]</f>
        <v>9532.92</v>
      </c>
    </row>
    <row r="697" spans="1:7" ht="21" customHeight="1" x14ac:dyDescent="0.3">
      <c r="A697" s="1" t="s">
        <v>130</v>
      </c>
      <c r="B697" s="1" t="str">
        <f>TEXT(Table1[[#This Row],[Date]], "YYYY-mm")</f>
        <v>2024-08</v>
      </c>
      <c r="C697" s="2" t="s">
        <v>7</v>
      </c>
      <c r="D697" s="2" t="s">
        <v>8</v>
      </c>
      <c r="E697" s="2">
        <v>15</v>
      </c>
      <c r="F697" s="2">
        <v>33.99</v>
      </c>
      <c r="G697" s="8">
        <f>Table1[[#This Row],[Quantity]]*Table1[[#This Row],[Price]]</f>
        <v>509.85</v>
      </c>
    </row>
    <row r="698" spans="1:7" ht="21" customHeight="1" x14ac:dyDescent="0.3">
      <c r="A698" s="3" t="s">
        <v>98</v>
      </c>
      <c r="B698" s="3" t="str">
        <f>TEXT(Table1[[#This Row],[Date]], "YYYY-mm")</f>
        <v>2024-03</v>
      </c>
      <c r="C698" s="4" t="s">
        <v>15</v>
      </c>
      <c r="D698" s="4" t="s">
        <v>8</v>
      </c>
      <c r="E698" s="4">
        <v>14</v>
      </c>
      <c r="F698" s="4">
        <v>8.5299999999999994</v>
      </c>
      <c r="G698" s="9">
        <f>Table1[[#This Row],[Quantity]]*Table1[[#This Row],[Price]]</f>
        <v>119.41999999999999</v>
      </c>
    </row>
    <row r="699" spans="1:7" ht="21" customHeight="1" x14ac:dyDescent="0.3">
      <c r="A699" s="1" t="s">
        <v>216</v>
      </c>
      <c r="B699" s="1" t="str">
        <f>TEXT(Table1[[#This Row],[Date]], "YYYY-mm")</f>
        <v>2024-02</v>
      </c>
      <c r="C699" s="2" t="s">
        <v>44</v>
      </c>
      <c r="D699" s="2" t="s">
        <v>8</v>
      </c>
      <c r="E699" s="2">
        <v>9</v>
      </c>
      <c r="F699" s="2">
        <v>8.39</v>
      </c>
      <c r="G699" s="8">
        <f>Table1[[#This Row],[Quantity]]*Table1[[#This Row],[Price]]</f>
        <v>75.510000000000005</v>
      </c>
    </row>
    <row r="700" spans="1:7" ht="21" customHeight="1" x14ac:dyDescent="0.3">
      <c r="A700" s="3" t="s">
        <v>329</v>
      </c>
      <c r="B700" s="3" t="str">
        <f>TEXT(Table1[[#This Row],[Date]], "YYYY-mm")</f>
        <v>2024-02</v>
      </c>
      <c r="C700" s="4" t="s">
        <v>22</v>
      </c>
      <c r="D700" s="4" t="s">
        <v>13</v>
      </c>
      <c r="E700" s="4">
        <v>6</v>
      </c>
      <c r="F700" s="4">
        <v>875.74</v>
      </c>
      <c r="G700" s="9">
        <f>Table1[[#This Row],[Quantity]]*Table1[[#This Row],[Price]]</f>
        <v>5254.4400000000005</v>
      </c>
    </row>
    <row r="701" spans="1:7" ht="21" customHeight="1" x14ac:dyDescent="0.3">
      <c r="A701" s="1" t="s">
        <v>106</v>
      </c>
      <c r="B701" s="1" t="str">
        <f>TEXT(Table1[[#This Row],[Date]], "YYYY-mm")</f>
        <v>2024-06</v>
      </c>
      <c r="C701" s="2" t="s">
        <v>15</v>
      </c>
      <c r="D701" s="2" t="s">
        <v>8</v>
      </c>
      <c r="E701" s="2">
        <v>5</v>
      </c>
      <c r="F701" s="2">
        <v>3.24</v>
      </c>
      <c r="G701" s="8">
        <f>Table1[[#This Row],[Quantity]]*Table1[[#This Row],[Price]]</f>
        <v>16.200000000000003</v>
      </c>
    </row>
    <row r="702" spans="1:7" ht="21" customHeight="1" x14ac:dyDescent="0.3">
      <c r="A702" s="3" t="s">
        <v>331</v>
      </c>
      <c r="B702" s="3" t="str">
        <f>TEXT(Table1[[#This Row],[Date]], "YYYY-mm")</f>
        <v>2024-05</v>
      </c>
      <c r="C702" s="4" t="s">
        <v>44</v>
      </c>
      <c r="D702" s="4" t="s">
        <v>8</v>
      </c>
      <c r="E702" s="4">
        <v>5</v>
      </c>
      <c r="F702" s="4">
        <v>12.11</v>
      </c>
      <c r="G702" s="9">
        <f>Table1[[#This Row],[Quantity]]*Table1[[#This Row],[Price]]</f>
        <v>60.55</v>
      </c>
    </row>
    <row r="703" spans="1:7" ht="21" customHeight="1" x14ac:dyDescent="0.3">
      <c r="A703" s="1" t="s">
        <v>332</v>
      </c>
      <c r="B703" s="1" t="str">
        <f>TEXT(Table1[[#This Row],[Date]], "YYYY-mm")</f>
        <v>2024-04</v>
      </c>
      <c r="C703" s="2" t="s">
        <v>15</v>
      </c>
      <c r="D703" s="2" t="s">
        <v>8</v>
      </c>
      <c r="E703" s="2">
        <v>6</v>
      </c>
      <c r="F703" s="2">
        <v>5.22</v>
      </c>
      <c r="G703" s="8">
        <f>Table1[[#This Row],[Quantity]]*Table1[[#This Row],[Price]]</f>
        <v>31.32</v>
      </c>
    </row>
    <row r="704" spans="1:7" ht="21" customHeight="1" x14ac:dyDescent="0.3">
      <c r="A704" s="3" t="s">
        <v>311</v>
      </c>
      <c r="B704" s="3" t="str">
        <f>TEXT(Table1[[#This Row],[Date]], "YYYY-mm")</f>
        <v>2024-11</v>
      </c>
      <c r="C704" s="4" t="s">
        <v>15</v>
      </c>
      <c r="D704" s="4" t="s">
        <v>8</v>
      </c>
      <c r="E704" s="4">
        <v>15</v>
      </c>
      <c r="F704" s="4">
        <v>4.1100000000000003</v>
      </c>
      <c r="G704" s="9">
        <f>Table1[[#This Row],[Quantity]]*Table1[[#This Row],[Price]]</f>
        <v>61.650000000000006</v>
      </c>
    </row>
    <row r="705" spans="1:7" ht="21" customHeight="1" x14ac:dyDescent="0.3">
      <c r="A705" s="1" t="s">
        <v>42</v>
      </c>
      <c r="B705" s="1" t="str">
        <f>TEXT(Table1[[#This Row],[Date]], "YYYY-mm")</f>
        <v>2024-12</v>
      </c>
      <c r="C705" s="2" t="s">
        <v>39</v>
      </c>
      <c r="D705" s="2" t="s">
        <v>8</v>
      </c>
      <c r="E705" s="2">
        <v>12</v>
      </c>
      <c r="F705" s="2">
        <v>7.19</v>
      </c>
      <c r="G705" s="8">
        <f>Table1[[#This Row],[Quantity]]*Table1[[#This Row],[Price]]</f>
        <v>86.28</v>
      </c>
    </row>
    <row r="706" spans="1:7" ht="21" customHeight="1" x14ac:dyDescent="0.3">
      <c r="A706" s="3" t="s">
        <v>257</v>
      </c>
      <c r="B706" s="3" t="str">
        <f>TEXT(Table1[[#This Row],[Date]], "YYYY-mm")</f>
        <v>2024-11</v>
      </c>
      <c r="C706" s="4" t="s">
        <v>29</v>
      </c>
      <c r="D706" s="4" t="s">
        <v>19</v>
      </c>
      <c r="E706" s="4">
        <v>5</v>
      </c>
      <c r="F706" s="4">
        <v>1609.04</v>
      </c>
      <c r="G706" s="9">
        <f>Table1[[#This Row],[Quantity]]*Table1[[#This Row],[Price]]</f>
        <v>8045.2</v>
      </c>
    </row>
    <row r="707" spans="1:7" ht="21" customHeight="1" x14ac:dyDescent="0.3">
      <c r="A707" s="1" t="s">
        <v>333</v>
      </c>
      <c r="B707" s="1" t="str">
        <f>TEXT(Table1[[#This Row],[Date]], "YYYY-mm")</f>
        <v>2024-08</v>
      </c>
      <c r="C707" s="2" t="s">
        <v>25</v>
      </c>
      <c r="D707" s="2" t="s">
        <v>19</v>
      </c>
      <c r="E707" s="2">
        <v>14</v>
      </c>
      <c r="F707" s="2">
        <v>914.94</v>
      </c>
      <c r="G707" s="8">
        <f>Table1[[#This Row],[Quantity]]*Table1[[#This Row],[Price]]</f>
        <v>12809.16</v>
      </c>
    </row>
    <row r="708" spans="1:7" ht="21" customHeight="1" x14ac:dyDescent="0.3">
      <c r="A708" s="3" t="s">
        <v>121</v>
      </c>
      <c r="B708" s="3" t="str">
        <f>TEXT(Table1[[#This Row],[Date]], "YYYY-mm")</f>
        <v>2024-11</v>
      </c>
      <c r="C708" s="4" t="s">
        <v>27</v>
      </c>
      <c r="D708" s="4" t="s">
        <v>8</v>
      </c>
      <c r="E708" s="4">
        <v>13</v>
      </c>
      <c r="F708" s="4">
        <v>102.79</v>
      </c>
      <c r="G708" s="9">
        <f>Table1[[#This Row],[Quantity]]*Table1[[#This Row],[Price]]</f>
        <v>1336.27</v>
      </c>
    </row>
    <row r="709" spans="1:7" ht="21" customHeight="1" x14ac:dyDescent="0.3">
      <c r="A709" s="1" t="s">
        <v>275</v>
      </c>
      <c r="B709" s="1" t="str">
        <f>TEXT(Table1[[#This Row],[Date]], "YYYY-mm")</f>
        <v>2024-11</v>
      </c>
      <c r="C709" s="2" t="s">
        <v>27</v>
      </c>
      <c r="D709" s="2" t="s">
        <v>8</v>
      </c>
      <c r="E709" s="2">
        <v>3</v>
      </c>
      <c r="F709" s="2">
        <v>246.62</v>
      </c>
      <c r="G709" s="8">
        <f>Table1[[#This Row],[Quantity]]*Table1[[#This Row],[Price]]</f>
        <v>739.86</v>
      </c>
    </row>
    <row r="710" spans="1:7" ht="21" customHeight="1" x14ac:dyDescent="0.3">
      <c r="A710" s="3" t="s">
        <v>204</v>
      </c>
      <c r="B710" s="3" t="str">
        <f>TEXT(Table1[[#This Row],[Date]], "YYYY-mm")</f>
        <v>2024-01</v>
      </c>
      <c r="C710" s="4" t="s">
        <v>15</v>
      </c>
      <c r="D710" s="4" t="s">
        <v>8</v>
      </c>
      <c r="E710" s="4">
        <v>2</v>
      </c>
      <c r="F710" s="4">
        <v>3.3</v>
      </c>
      <c r="G710" s="9">
        <f>Table1[[#This Row],[Quantity]]*Table1[[#This Row],[Price]]</f>
        <v>6.6</v>
      </c>
    </row>
    <row r="711" spans="1:7" ht="21" customHeight="1" x14ac:dyDescent="0.3">
      <c r="A711" s="1" t="s">
        <v>334</v>
      </c>
      <c r="B711" s="1" t="str">
        <f>TEXT(Table1[[#This Row],[Date]], "YYYY-mm")</f>
        <v>2024-10</v>
      </c>
      <c r="C711" s="2" t="s">
        <v>44</v>
      </c>
      <c r="D711" s="2" t="s">
        <v>8</v>
      </c>
      <c r="E711" s="2">
        <v>6</v>
      </c>
      <c r="F711" s="2">
        <v>19.52</v>
      </c>
      <c r="G711" s="8">
        <f>Table1[[#This Row],[Quantity]]*Table1[[#This Row],[Price]]</f>
        <v>117.12</v>
      </c>
    </row>
    <row r="712" spans="1:7" ht="21" customHeight="1" x14ac:dyDescent="0.3">
      <c r="A712" s="3" t="s">
        <v>52</v>
      </c>
      <c r="B712" s="3" t="str">
        <f>TEXT(Table1[[#This Row],[Date]], "YYYY-mm")</f>
        <v>2024-12</v>
      </c>
      <c r="C712" s="4" t="s">
        <v>10</v>
      </c>
      <c r="D712" s="4" t="s">
        <v>8</v>
      </c>
      <c r="E712" s="4">
        <v>4</v>
      </c>
      <c r="F712" s="4">
        <v>68</v>
      </c>
      <c r="G712" s="9">
        <f>Table1[[#This Row],[Quantity]]*Table1[[#This Row],[Price]]</f>
        <v>272</v>
      </c>
    </row>
    <row r="713" spans="1:7" ht="21" customHeight="1" x14ac:dyDescent="0.3">
      <c r="A713" s="1" t="s">
        <v>145</v>
      </c>
      <c r="B713" s="1" t="str">
        <f>TEXT(Table1[[#This Row],[Date]], "YYYY-mm")</f>
        <v>2024-01</v>
      </c>
      <c r="C713" s="2" t="s">
        <v>12</v>
      </c>
      <c r="D713" s="2" t="s">
        <v>13</v>
      </c>
      <c r="E713" s="2">
        <v>12</v>
      </c>
      <c r="F713" s="2">
        <v>262.19</v>
      </c>
      <c r="G713" s="8">
        <f>Table1[[#This Row],[Quantity]]*Table1[[#This Row],[Price]]</f>
        <v>3146.2799999999997</v>
      </c>
    </row>
    <row r="714" spans="1:7" ht="21" customHeight="1" x14ac:dyDescent="0.3">
      <c r="A714" s="3" t="s">
        <v>135</v>
      </c>
      <c r="B714" s="3" t="str">
        <f>TEXT(Table1[[#This Row],[Date]], "YYYY-mm")</f>
        <v>2024-04</v>
      </c>
      <c r="C714" s="4" t="s">
        <v>10</v>
      </c>
      <c r="D714" s="4" t="s">
        <v>8</v>
      </c>
      <c r="E714" s="4">
        <v>5</v>
      </c>
      <c r="F714" s="4">
        <v>98.67</v>
      </c>
      <c r="G714" s="9">
        <f>Table1[[#This Row],[Quantity]]*Table1[[#This Row],[Price]]</f>
        <v>493.35</v>
      </c>
    </row>
    <row r="715" spans="1:7" ht="21" customHeight="1" x14ac:dyDescent="0.3">
      <c r="A715" s="1" t="s">
        <v>238</v>
      </c>
      <c r="B715" s="1" t="str">
        <f>TEXT(Table1[[#This Row],[Date]], "YYYY-mm")</f>
        <v>2024-07</v>
      </c>
      <c r="C715" s="2" t="s">
        <v>44</v>
      </c>
      <c r="D715" s="2" t="s">
        <v>8</v>
      </c>
      <c r="E715" s="2">
        <v>12</v>
      </c>
      <c r="F715" s="2">
        <v>18.93</v>
      </c>
      <c r="G715" s="8">
        <f>Table1[[#This Row],[Quantity]]*Table1[[#This Row],[Price]]</f>
        <v>227.16</v>
      </c>
    </row>
    <row r="716" spans="1:7" ht="21" customHeight="1" x14ac:dyDescent="0.3">
      <c r="A716" s="3" t="s">
        <v>265</v>
      </c>
      <c r="B716" s="3" t="str">
        <f>TEXT(Table1[[#This Row],[Date]], "YYYY-mm")</f>
        <v>2024-09</v>
      </c>
      <c r="C716" s="4" t="s">
        <v>27</v>
      </c>
      <c r="D716" s="4" t="s">
        <v>8</v>
      </c>
      <c r="E716" s="4">
        <v>8</v>
      </c>
      <c r="F716" s="4">
        <v>127.22</v>
      </c>
      <c r="G716" s="9">
        <f>Table1[[#This Row],[Quantity]]*Table1[[#This Row],[Price]]</f>
        <v>1017.76</v>
      </c>
    </row>
    <row r="717" spans="1:7" ht="21" customHeight="1" x14ac:dyDescent="0.3">
      <c r="A717" s="1" t="s">
        <v>200</v>
      </c>
      <c r="B717" s="1" t="str">
        <f>TEXT(Table1[[#This Row],[Date]], "YYYY-mm")</f>
        <v>2024-01</v>
      </c>
      <c r="C717" s="2" t="s">
        <v>39</v>
      </c>
      <c r="D717" s="2" t="s">
        <v>8</v>
      </c>
      <c r="E717" s="2">
        <v>5</v>
      </c>
      <c r="F717" s="2">
        <v>6.18</v>
      </c>
      <c r="G717" s="8">
        <f>Table1[[#This Row],[Quantity]]*Table1[[#This Row],[Price]]</f>
        <v>30.9</v>
      </c>
    </row>
    <row r="718" spans="1:7" ht="21" customHeight="1" x14ac:dyDescent="0.3">
      <c r="A718" s="3" t="s">
        <v>93</v>
      </c>
      <c r="B718" s="3" t="str">
        <f>TEXT(Table1[[#This Row],[Date]], "YYYY-mm")</f>
        <v>2024-08</v>
      </c>
      <c r="C718" s="4" t="s">
        <v>27</v>
      </c>
      <c r="D718" s="4" t="s">
        <v>8</v>
      </c>
      <c r="E718" s="4">
        <v>6</v>
      </c>
      <c r="F718" s="4">
        <v>213.09</v>
      </c>
      <c r="G718" s="9">
        <f>Table1[[#This Row],[Quantity]]*Table1[[#This Row],[Price]]</f>
        <v>1278.54</v>
      </c>
    </row>
    <row r="719" spans="1:7" ht="21" customHeight="1" x14ac:dyDescent="0.3">
      <c r="A719" s="1" t="s">
        <v>335</v>
      </c>
      <c r="B719" s="1" t="str">
        <f>TEXT(Table1[[#This Row],[Date]], "YYYY-mm")</f>
        <v>2024-04</v>
      </c>
      <c r="C719" s="2" t="s">
        <v>12</v>
      </c>
      <c r="D719" s="2" t="s">
        <v>13</v>
      </c>
      <c r="E719" s="2">
        <v>10</v>
      </c>
      <c r="F719" s="2">
        <v>546.73</v>
      </c>
      <c r="G719" s="8">
        <f>Table1[[#This Row],[Quantity]]*Table1[[#This Row],[Price]]</f>
        <v>5467.3</v>
      </c>
    </row>
    <row r="720" spans="1:7" ht="21" customHeight="1" x14ac:dyDescent="0.3">
      <c r="A720" s="3" t="s">
        <v>45</v>
      </c>
      <c r="B720" s="3" t="str">
        <f>TEXT(Table1[[#This Row],[Date]], "YYYY-mm")</f>
        <v>2024-03</v>
      </c>
      <c r="C720" s="4" t="s">
        <v>39</v>
      </c>
      <c r="D720" s="4" t="s">
        <v>8</v>
      </c>
      <c r="E720" s="4">
        <v>2</v>
      </c>
      <c r="F720" s="4">
        <v>5.93</v>
      </c>
      <c r="G720" s="9">
        <f>Table1[[#This Row],[Quantity]]*Table1[[#This Row],[Price]]</f>
        <v>11.86</v>
      </c>
    </row>
    <row r="721" spans="1:7" ht="21" customHeight="1" x14ac:dyDescent="0.3">
      <c r="A721" s="1" t="s">
        <v>212</v>
      </c>
      <c r="B721" s="1" t="str">
        <f>TEXT(Table1[[#This Row],[Date]], "YYYY-mm")</f>
        <v>2024-06</v>
      </c>
      <c r="C721" s="2" t="s">
        <v>34</v>
      </c>
      <c r="D721" s="2" t="s">
        <v>19</v>
      </c>
      <c r="E721" s="2">
        <v>5</v>
      </c>
      <c r="F721" s="2">
        <v>585.75</v>
      </c>
      <c r="G721" s="8">
        <f>Table1[[#This Row],[Quantity]]*Table1[[#This Row],[Price]]</f>
        <v>2928.75</v>
      </c>
    </row>
    <row r="722" spans="1:7" ht="21" customHeight="1" x14ac:dyDescent="0.3">
      <c r="A722" s="3" t="s">
        <v>282</v>
      </c>
      <c r="B722" s="3" t="str">
        <f>TEXT(Table1[[#This Row],[Date]], "YYYY-mm")</f>
        <v>2024-12</v>
      </c>
      <c r="C722" s="4" t="s">
        <v>22</v>
      </c>
      <c r="D722" s="4" t="s">
        <v>13</v>
      </c>
      <c r="E722" s="4">
        <v>2</v>
      </c>
      <c r="F722" s="4">
        <v>1065.8599999999999</v>
      </c>
      <c r="G722" s="9">
        <f>Table1[[#This Row],[Quantity]]*Table1[[#This Row],[Price]]</f>
        <v>2131.7199999999998</v>
      </c>
    </row>
    <row r="723" spans="1:7" ht="21" customHeight="1" x14ac:dyDescent="0.3">
      <c r="A723" s="1" t="s">
        <v>336</v>
      </c>
      <c r="B723" s="1" t="str">
        <f>TEXT(Table1[[#This Row],[Date]], "YYYY-mm")</f>
        <v>2024-09</v>
      </c>
      <c r="C723" s="2" t="s">
        <v>7</v>
      </c>
      <c r="D723" s="2" t="s">
        <v>8</v>
      </c>
      <c r="E723" s="2">
        <v>10</v>
      </c>
      <c r="F723" s="2">
        <v>52.12</v>
      </c>
      <c r="G723" s="8">
        <f>Table1[[#This Row],[Quantity]]*Table1[[#This Row],[Price]]</f>
        <v>521.19999999999993</v>
      </c>
    </row>
    <row r="724" spans="1:7" ht="21" customHeight="1" x14ac:dyDescent="0.3">
      <c r="A724" s="3" t="s">
        <v>246</v>
      </c>
      <c r="B724" s="3" t="str">
        <f>TEXT(Table1[[#This Row],[Date]], "YYYY-mm")</f>
        <v>2024-10</v>
      </c>
      <c r="C724" s="4" t="s">
        <v>7</v>
      </c>
      <c r="D724" s="4" t="s">
        <v>8</v>
      </c>
      <c r="E724" s="4">
        <v>2</v>
      </c>
      <c r="F724" s="4">
        <v>33.799999999999997</v>
      </c>
      <c r="G724" s="9">
        <f>Table1[[#This Row],[Quantity]]*Table1[[#This Row],[Price]]</f>
        <v>67.599999999999994</v>
      </c>
    </row>
    <row r="725" spans="1:7" ht="21" customHeight="1" x14ac:dyDescent="0.3">
      <c r="A725" s="1" t="s">
        <v>337</v>
      </c>
      <c r="B725" s="1" t="str">
        <f>TEXT(Table1[[#This Row],[Date]], "YYYY-mm")</f>
        <v>2024-05</v>
      </c>
      <c r="C725" s="2" t="s">
        <v>7</v>
      </c>
      <c r="D725" s="2" t="s">
        <v>8</v>
      </c>
      <c r="E725" s="2">
        <v>2</v>
      </c>
      <c r="F725" s="2">
        <v>36.049999999999997</v>
      </c>
      <c r="G725" s="8">
        <f>Table1[[#This Row],[Quantity]]*Table1[[#This Row],[Price]]</f>
        <v>72.099999999999994</v>
      </c>
    </row>
    <row r="726" spans="1:7" ht="21" customHeight="1" x14ac:dyDescent="0.3">
      <c r="A726" s="3" t="s">
        <v>105</v>
      </c>
      <c r="B726" s="3" t="str">
        <f>TEXT(Table1[[#This Row],[Date]], "YYYY-mm")</f>
        <v>2024-12</v>
      </c>
      <c r="C726" s="4" t="s">
        <v>18</v>
      </c>
      <c r="D726" s="4" t="s">
        <v>19</v>
      </c>
      <c r="E726" s="4">
        <v>10</v>
      </c>
      <c r="F726" s="4">
        <v>788.37</v>
      </c>
      <c r="G726" s="9">
        <f>Table1[[#This Row],[Quantity]]*Table1[[#This Row],[Price]]</f>
        <v>7883.7</v>
      </c>
    </row>
    <row r="727" spans="1:7" ht="21" customHeight="1" x14ac:dyDescent="0.3">
      <c r="A727" s="1" t="s">
        <v>30</v>
      </c>
      <c r="B727" s="1" t="str">
        <f>TEXT(Table1[[#This Row],[Date]], "YYYY-mm")</f>
        <v>2024-06</v>
      </c>
      <c r="C727" s="2" t="s">
        <v>34</v>
      </c>
      <c r="D727" s="2" t="s">
        <v>19</v>
      </c>
      <c r="E727" s="2">
        <v>12</v>
      </c>
      <c r="F727" s="2">
        <v>594.25</v>
      </c>
      <c r="G727" s="8">
        <f>Table1[[#This Row],[Quantity]]*Table1[[#This Row],[Price]]</f>
        <v>7131</v>
      </c>
    </row>
    <row r="728" spans="1:7" ht="21" customHeight="1" x14ac:dyDescent="0.3">
      <c r="A728" s="3" t="s">
        <v>11</v>
      </c>
      <c r="B728" s="3" t="str">
        <f>TEXT(Table1[[#This Row],[Date]], "YYYY-mm")</f>
        <v>2024-10</v>
      </c>
      <c r="C728" s="4" t="s">
        <v>34</v>
      </c>
      <c r="D728" s="4" t="s">
        <v>19</v>
      </c>
      <c r="E728" s="4">
        <v>13</v>
      </c>
      <c r="F728" s="4">
        <v>984.57</v>
      </c>
      <c r="G728" s="9">
        <f>Table1[[#This Row],[Quantity]]*Table1[[#This Row],[Price]]</f>
        <v>12799.41</v>
      </c>
    </row>
    <row r="729" spans="1:7" ht="21" customHeight="1" x14ac:dyDescent="0.3">
      <c r="A729" s="1" t="s">
        <v>212</v>
      </c>
      <c r="B729" s="1" t="str">
        <f>TEXT(Table1[[#This Row],[Date]], "YYYY-mm")</f>
        <v>2024-06</v>
      </c>
      <c r="C729" s="2" t="s">
        <v>25</v>
      </c>
      <c r="D729" s="2" t="s">
        <v>19</v>
      </c>
      <c r="E729" s="2">
        <v>1</v>
      </c>
      <c r="F729" s="2">
        <v>802.86</v>
      </c>
      <c r="G729" s="8">
        <f>Table1[[#This Row],[Quantity]]*Table1[[#This Row],[Price]]</f>
        <v>802.86</v>
      </c>
    </row>
    <row r="730" spans="1:7" ht="21" customHeight="1" x14ac:dyDescent="0.3">
      <c r="A730" s="3" t="s">
        <v>109</v>
      </c>
      <c r="B730" s="3" t="str">
        <f>TEXT(Table1[[#This Row],[Date]], "YYYY-mm")</f>
        <v>2024-04</v>
      </c>
      <c r="C730" s="4" t="s">
        <v>12</v>
      </c>
      <c r="D730" s="4" t="s">
        <v>13</v>
      </c>
      <c r="E730" s="4">
        <v>3</v>
      </c>
      <c r="F730" s="4">
        <v>170.4</v>
      </c>
      <c r="G730" s="9">
        <f>Table1[[#This Row],[Quantity]]*Table1[[#This Row],[Price]]</f>
        <v>511.20000000000005</v>
      </c>
    </row>
    <row r="731" spans="1:7" ht="21" customHeight="1" x14ac:dyDescent="0.3">
      <c r="A731" s="1" t="s">
        <v>35</v>
      </c>
      <c r="B731" s="1" t="str">
        <f>TEXT(Table1[[#This Row],[Date]], "YYYY-mm")</f>
        <v>2024-08</v>
      </c>
      <c r="C731" s="2" t="s">
        <v>25</v>
      </c>
      <c r="D731" s="2" t="s">
        <v>19</v>
      </c>
      <c r="E731" s="2">
        <v>3</v>
      </c>
      <c r="F731" s="2">
        <v>469.11</v>
      </c>
      <c r="G731" s="8">
        <f>Table1[[#This Row],[Quantity]]*Table1[[#This Row],[Price]]</f>
        <v>1407.33</v>
      </c>
    </row>
    <row r="732" spans="1:7" ht="21" customHeight="1" x14ac:dyDescent="0.3">
      <c r="A732" s="3" t="s">
        <v>202</v>
      </c>
      <c r="B732" s="3" t="str">
        <f>TEXT(Table1[[#This Row],[Date]], "YYYY-mm")</f>
        <v>2024-09</v>
      </c>
      <c r="C732" s="4" t="s">
        <v>7</v>
      </c>
      <c r="D732" s="4" t="s">
        <v>8</v>
      </c>
      <c r="E732" s="4">
        <v>14</v>
      </c>
      <c r="F732" s="4">
        <v>76.83</v>
      </c>
      <c r="G732" s="9">
        <f>Table1[[#This Row],[Quantity]]*Table1[[#This Row],[Price]]</f>
        <v>1075.6199999999999</v>
      </c>
    </row>
    <row r="733" spans="1:7" ht="21" customHeight="1" x14ac:dyDescent="0.3">
      <c r="A733" s="1" t="s">
        <v>338</v>
      </c>
      <c r="B733" s="1" t="str">
        <f>TEXT(Table1[[#This Row],[Date]], "YYYY-mm")</f>
        <v>2024-03</v>
      </c>
      <c r="C733" s="2" t="s">
        <v>18</v>
      </c>
      <c r="D733" s="2" t="s">
        <v>19</v>
      </c>
      <c r="E733" s="2">
        <v>12</v>
      </c>
      <c r="F733" s="2">
        <v>688.43</v>
      </c>
      <c r="G733" s="8">
        <f>Table1[[#This Row],[Quantity]]*Table1[[#This Row],[Price]]</f>
        <v>8261.16</v>
      </c>
    </row>
    <row r="734" spans="1:7" ht="21" customHeight="1" x14ac:dyDescent="0.3">
      <c r="A734" s="3" t="s">
        <v>37</v>
      </c>
      <c r="B734" s="3" t="str">
        <f>TEXT(Table1[[#This Row],[Date]], "YYYY-mm")</f>
        <v>2024-04</v>
      </c>
      <c r="C734" s="4" t="s">
        <v>27</v>
      </c>
      <c r="D734" s="4" t="s">
        <v>8</v>
      </c>
      <c r="E734" s="4">
        <v>15</v>
      </c>
      <c r="F734" s="4">
        <v>113.19</v>
      </c>
      <c r="G734" s="9">
        <f>Table1[[#This Row],[Quantity]]*Table1[[#This Row],[Price]]</f>
        <v>1697.85</v>
      </c>
    </row>
    <row r="735" spans="1:7" ht="21" customHeight="1" x14ac:dyDescent="0.3">
      <c r="A735" s="1" t="s">
        <v>207</v>
      </c>
      <c r="B735" s="1" t="str">
        <f>TEXT(Table1[[#This Row],[Date]], "YYYY-mm")</f>
        <v>2024-02</v>
      </c>
      <c r="C735" s="2" t="s">
        <v>44</v>
      </c>
      <c r="D735" s="2" t="s">
        <v>8</v>
      </c>
      <c r="E735" s="2">
        <v>4</v>
      </c>
      <c r="F735" s="2">
        <v>11.97</v>
      </c>
      <c r="G735" s="8">
        <f>Table1[[#This Row],[Quantity]]*Table1[[#This Row],[Price]]</f>
        <v>47.88</v>
      </c>
    </row>
    <row r="736" spans="1:7" ht="21" customHeight="1" x14ac:dyDescent="0.3">
      <c r="A736" s="3" t="s">
        <v>55</v>
      </c>
      <c r="B736" s="3" t="str">
        <f>TEXT(Table1[[#This Row],[Date]], "YYYY-mm")</f>
        <v>2024-12</v>
      </c>
      <c r="C736" s="4" t="s">
        <v>10</v>
      </c>
      <c r="D736" s="4" t="s">
        <v>8</v>
      </c>
      <c r="E736" s="4">
        <v>9</v>
      </c>
      <c r="F736" s="4">
        <v>41.58</v>
      </c>
      <c r="G736" s="9">
        <f>Table1[[#This Row],[Quantity]]*Table1[[#This Row],[Price]]</f>
        <v>374.21999999999997</v>
      </c>
    </row>
    <row r="737" spans="1:7" ht="21" customHeight="1" x14ac:dyDescent="0.3">
      <c r="A737" s="1" t="s">
        <v>339</v>
      </c>
      <c r="B737" s="1" t="str">
        <f>TEXT(Table1[[#This Row],[Date]], "YYYY-mm")</f>
        <v>2024-06</v>
      </c>
      <c r="C737" s="2" t="s">
        <v>10</v>
      </c>
      <c r="D737" s="2" t="s">
        <v>8</v>
      </c>
      <c r="E737" s="2">
        <v>6</v>
      </c>
      <c r="F737" s="2">
        <v>100.85</v>
      </c>
      <c r="G737" s="8">
        <f>Table1[[#This Row],[Quantity]]*Table1[[#This Row],[Price]]</f>
        <v>605.09999999999991</v>
      </c>
    </row>
    <row r="738" spans="1:7" ht="21" customHeight="1" x14ac:dyDescent="0.3">
      <c r="A738" s="3" t="s">
        <v>333</v>
      </c>
      <c r="B738" s="3" t="str">
        <f>TEXT(Table1[[#This Row],[Date]], "YYYY-mm")</f>
        <v>2024-08</v>
      </c>
      <c r="C738" s="4" t="s">
        <v>7</v>
      </c>
      <c r="D738" s="4" t="s">
        <v>8</v>
      </c>
      <c r="E738" s="4">
        <v>5</v>
      </c>
      <c r="F738" s="4">
        <v>20.190000000000001</v>
      </c>
      <c r="G738" s="9">
        <f>Table1[[#This Row],[Quantity]]*Table1[[#This Row],[Price]]</f>
        <v>100.95</v>
      </c>
    </row>
    <row r="739" spans="1:7" ht="21" customHeight="1" x14ac:dyDescent="0.3">
      <c r="A739" s="1" t="s">
        <v>336</v>
      </c>
      <c r="B739" s="1" t="str">
        <f>TEXT(Table1[[#This Row],[Date]], "YYYY-mm")</f>
        <v>2024-09</v>
      </c>
      <c r="C739" s="2" t="s">
        <v>27</v>
      </c>
      <c r="D739" s="2" t="s">
        <v>8</v>
      </c>
      <c r="E739" s="2">
        <v>6</v>
      </c>
      <c r="F739" s="2">
        <v>224.57</v>
      </c>
      <c r="G739" s="8">
        <f>Table1[[#This Row],[Quantity]]*Table1[[#This Row],[Price]]</f>
        <v>1347.42</v>
      </c>
    </row>
    <row r="740" spans="1:7" ht="21" customHeight="1" x14ac:dyDescent="0.3">
      <c r="A740" s="3" t="s">
        <v>14</v>
      </c>
      <c r="B740" s="3" t="str">
        <f>TEXT(Table1[[#This Row],[Date]], "YYYY-mm")</f>
        <v>2024-05</v>
      </c>
      <c r="C740" s="4" t="s">
        <v>39</v>
      </c>
      <c r="D740" s="4" t="s">
        <v>8</v>
      </c>
      <c r="E740" s="4">
        <v>1</v>
      </c>
      <c r="F740" s="4">
        <v>6.5</v>
      </c>
      <c r="G740" s="9">
        <f>Table1[[#This Row],[Quantity]]*Table1[[#This Row],[Price]]</f>
        <v>6.5</v>
      </c>
    </row>
    <row r="741" spans="1:7" ht="21" customHeight="1" x14ac:dyDescent="0.3">
      <c r="A741" s="1" t="s">
        <v>101</v>
      </c>
      <c r="B741" s="1" t="str">
        <f>TEXT(Table1[[#This Row],[Date]], "YYYY-mm")</f>
        <v>2024-06</v>
      </c>
      <c r="C741" s="2" t="s">
        <v>18</v>
      </c>
      <c r="D741" s="2" t="s">
        <v>19</v>
      </c>
      <c r="E741" s="2">
        <v>15</v>
      </c>
      <c r="F741" s="2">
        <v>946.15</v>
      </c>
      <c r="G741" s="8">
        <f>Table1[[#This Row],[Quantity]]*Table1[[#This Row],[Price]]</f>
        <v>14192.25</v>
      </c>
    </row>
    <row r="742" spans="1:7" ht="21" customHeight="1" x14ac:dyDescent="0.3">
      <c r="A742" s="3" t="s">
        <v>340</v>
      </c>
      <c r="B742" s="3" t="str">
        <f>TEXT(Table1[[#This Row],[Date]], "YYYY-mm")</f>
        <v>2024-01</v>
      </c>
      <c r="C742" s="4" t="s">
        <v>22</v>
      </c>
      <c r="D742" s="4" t="s">
        <v>13</v>
      </c>
      <c r="E742" s="4">
        <v>8</v>
      </c>
      <c r="F742" s="4">
        <v>1380.16</v>
      </c>
      <c r="G742" s="9">
        <f>Table1[[#This Row],[Quantity]]*Table1[[#This Row],[Price]]</f>
        <v>11041.28</v>
      </c>
    </row>
    <row r="743" spans="1:7" ht="21" customHeight="1" x14ac:dyDescent="0.3">
      <c r="A743" s="1" t="s">
        <v>341</v>
      </c>
      <c r="B743" s="1" t="str">
        <f>TEXT(Table1[[#This Row],[Date]], "YYYY-mm")</f>
        <v>2024-06</v>
      </c>
      <c r="C743" s="2" t="s">
        <v>29</v>
      </c>
      <c r="D743" s="2" t="s">
        <v>19</v>
      </c>
      <c r="E743" s="2">
        <v>6</v>
      </c>
      <c r="F743" s="2">
        <v>1440.09</v>
      </c>
      <c r="G743" s="8">
        <f>Table1[[#This Row],[Quantity]]*Table1[[#This Row],[Price]]</f>
        <v>8640.5399999999991</v>
      </c>
    </row>
    <row r="744" spans="1:7" ht="21" customHeight="1" x14ac:dyDescent="0.3">
      <c r="A744" s="3" t="s">
        <v>129</v>
      </c>
      <c r="B744" s="3" t="str">
        <f>TEXT(Table1[[#This Row],[Date]], "YYYY-mm")</f>
        <v>2024-04</v>
      </c>
      <c r="C744" s="4" t="s">
        <v>44</v>
      </c>
      <c r="D744" s="4" t="s">
        <v>8</v>
      </c>
      <c r="E744" s="4">
        <v>14</v>
      </c>
      <c r="F744" s="4">
        <v>8.9</v>
      </c>
      <c r="G744" s="9">
        <f>Table1[[#This Row],[Quantity]]*Table1[[#This Row],[Price]]</f>
        <v>124.60000000000001</v>
      </c>
    </row>
    <row r="745" spans="1:7" ht="21" customHeight="1" x14ac:dyDescent="0.3">
      <c r="A745" s="1" t="s">
        <v>115</v>
      </c>
      <c r="B745" s="1" t="str">
        <f>TEXT(Table1[[#This Row],[Date]], "YYYY-mm")</f>
        <v>2024-10</v>
      </c>
      <c r="C745" s="2" t="s">
        <v>25</v>
      </c>
      <c r="D745" s="2" t="s">
        <v>19</v>
      </c>
      <c r="E745" s="2">
        <v>9</v>
      </c>
      <c r="F745" s="2">
        <v>722.34</v>
      </c>
      <c r="G745" s="8">
        <f>Table1[[#This Row],[Quantity]]*Table1[[#This Row],[Price]]</f>
        <v>6501.06</v>
      </c>
    </row>
    <row r="746" spans="1:7" ht="21" customHeight="1" x14ac:dyDescent="0.3">
      <c r="A746" s="3" t="s">
        <v>139</v>
      </c>
      <c r="B746" s="3" t="str">
        <f>TEXT(Table1[[#This Row],[Date]], "YYYY-mm")</f>
        <v>2024-01</v>
      </c>
      <c r="C746" s="4" t="s">
        <v>25</v>
      </c>
      <c r="D746" s="4" t="s">
        <v>19</v>
      </c>
      <c r="E746" s="4">
        <v>4</v>
      </c>
      <c r="F746" s="4">
        <v>338.45</v>
      </c>
      <c r="G746" s="9">
        <f>Table1[[#This Row],[Quantity]]*Table1[[#This Row],[Price]]</f>
        <v>1353.8</v>
      </c>
    </row>
    <row r="747" spans="1:7" ht="21" customHeight="1" x14ac:dyDescent="0.3">
      <c r="A747" s="1" t="s">
        <v>35</v>
      </c>
      <c r="B747" s="1" t="str">
        <f>TEXT(Table1[[#This Row],[Date]], "YYYY-mm")</f>
        <v>2024-08</v>
      </c>
      <c r="C747" s="2" t="s">
        <v>18</v>
      </c>
      <c r="D747" s="2" t="s">
        <v>19</v>
      </c>
      <c r="E747" s="2">
        <v>5</v>
      </c>
      <c r="F747" s="2">
        <v>1021.2</v>
      </c>
      <c r="G747" s="8">
        <f>Table1[[#This Row],[Quantity]]*Table1[[#This Row],[Price]]</f>
        <v>5106</v>
      </c>
    </row>
    <row r="748" spans="1:7" ht="21" customHeight="1" x14ac:dyDescent="0.3">
      <c r="A748" s="3" t="s">
        <v>45</v>
      </c>
      <c r="B748" s="3" t="str">
        <f>TEXT(Table1[[#This Row],[Date]], "YYYY-mm")</f>
        <v>2024-03</v>
      </c>
      <c r="C748" s="4" t="s">
        <v>27</v>
      </c>
      <c r="D748" s="4" t="s">
        <v>8</v>
      </c>
      <c r="E748" s="4">
        <v>3</v>
      </c>
      <c r="F748" s="4">
        <v>145.43</v>
      </c>
      <c r="G748" s="9">
        <f>Table1[[#This Row],[Quantity]]*Table1[[#This Row],[Price]]</f>
        <v>436.29</v>
      </c>
    </row>
    <row r="749" spans="1:7" ht="21" customHeight="1" x14ac:dyDescent="0.3">
      <c r="A749" s="1" t="s">
        <v>143</v>
      </c>
      <c r="B749" s="1" t="str">
        <f>TEXT(Table1[[#This Row],[Date]], "YYYY-mm")</f>
        <v>2024-11</v>
      </c>
      <c r="C749" s="2" t="s">
        <v>7</v>
      </c>
      <c r="D749" s="2" t="s">
        <v>8</v>
      </c>
      <c r="E749" s="2">
        <v>7</v>
      </c>
      <c r="F749" s="2">
        <v>64.66</v>
      </c>
      <c r="G749" s="8">
        <f>Table1[[#This Row],[Quantity]]*Table1[[#This Row],[Price]]</f>
        <v>452.62</v>
      </c>
    </row>
    <row r="750" spans="1:7" ht="21" customHeight="1" x14ac:dyDescent="0.3">
      <c r="A750" s="3" t="s">
        <v>91</v>
      </c>
      <c r="B750" s="3" t="str">
        <f>TEXT(Table1[[#This Row],[Date]], "YYYY-mm")</f>
        <v>2024-10</v>
      </c>
      <c r="C750" s="4" t="s">
        <v>34</v>
      </c>
      <c r="D750" s="4" t="s">
        <v>19</v>
      </c>
      <c r="E750" s="4">
        <v>1</v>
      </c>
      <c r="F750" s="4">
        <v>1655.42</v>
      </c>
      <c r="G750" s="9">
        <f>Table1[[#This Row],[Quantity]]*Table1[[#This Row],[Price]]</f>
        <v>1655.42</v>
      </c>
    </row>
    <row r="751" spans="1:7" ht="21" customHeight="1" x14ac:dyDescent="0.3">
      <c r="A751" s="1" t="s">
        <v>60</v>
      </c>
      <c r="B751" s="1" t="str">
        <f>TEXT(Table1[[#This Row],[Date]], "YYYY-mm")</f>
        <v>2024-11</v>
      </c>
      <c r="C751" s="2" t="s">
        <v>12</v>
      </c>
      <c r="D751" s="2" t="s">
        <v>13</v>
      </c>
      <c r="E751" s="2">
        <v>10</v>
      </c>
      <c r="F751" s="2">
        <v>150.16999999999999</v>
      </c>
      <c r="G751" s="8">
        <f>Table1[[#This Row],[Quantity]]*Table1[[#This Row],[Price]]</f>
        <v>1501.6999999999998</v>
      </c>
    </row>
    <row r="752" spans="1:7" ht="21" customHeight="1" x14ac:dyDescent="0.3">
      <c r="A752" s="3" t="s">
        <v>195</v>
      </c>
      <c r="B752" s="3" t="str">
        <f>TEXT(Table1[[#This Row],[Date]], "YYYY-mm")</f>
        <v>2024-12</v>
      </c>
      <c r="C752" s="4" t="s">
        <v>44</v>
      </c>
      <c r="D752" s="4" t="s">
        <v>8</v>
      </c>
      <c r="E752" s="4">
        <v>7</v>
      </c>
      <c r="F752" s="4">
        <v>19.170000000000002</v>
      </c>
      <c r="G752" s="9">
        <f>Table1[[#This Row],[Quantity]]*Table1[[#This Row],[Price]]</f>
        <v>134.19</v>
      </c>
    </row>
    <row r="753" spans="1:7" ht="21" customHeight="1" x14ac:dyDescent="0.3">
      <c r="A753" s="1" t="s">
        <v>71</v>
      </c>
      <c r="B753" s="1" t="str">
        <f>TEXT(Table1[[#This Row],[Date]], "YYYY-mm")</f>
        <v>2024-02</v>
      </c>
      <c r="C753" s="2" t="s">
        <v>12</v>
      </c>
      <c r="D753" s="2" t="s">
        <v>13</v>
      </c>
      <c r="E753" s="2">
        <v>5</v>
      </c>
      <c r="F753" s="2">
        <v>367.69</v>
      </c>
      <c r="G753" s="8">
        <f>Table1[[#This Row],[Quantity]]*Table1[[#This Row],[Price]]</f>
        <v>1838.45</v>
      </c>
    </row>
    <row r="754" spans="1:7" ht="21" customHeight="1" x14ac:dyDescent="0.3">
      <c r="A754" s="3" t="s">
        <v>166</v>
      </c>
      <c r="B754" s="3" t="str">
        <f>TEXT(Table1[[#This Row],[Date]], "YYYY-mm")</f>
        <v>2024-12</v>
      </c>
      <c r="C754" s="4" t="s">
        <v>34</v>
      </c>
      <c r="D754" s="4" t="s">
        <v>19</v>
      </c>
      <c r="E754" s="4">
        <v>2</v>
      </c>
      <c r="F754" s="4">
        <v>784.57</v>
      </c>
      <c r="G754" s="9">
        <f>Table1[[#This Row],[Quantity]]*Table1[[#This Row],[Price]]</f>
        <v>1569.14</v>
      </c>
    </row>
    <row r="755" spans="1:7" ht="21" customHeight="1" x14ac:dyDescent="0.3">
      <c r="A755" s="1" t="s">
        <v>251</v>
      </c>
      <c r="B755" s="1" t="str">
        <f>TEXT(Table1[[#This Row],[Date]], "YYYY-mm")</f>
        <v>2024-01</v>
      </c>
      <c r="C755" s="2" t="s">
        <v>29</v>
      </c>
      <c r="D755" s="2" t="s">
        <v>19</v>
      </c>
      <c r="E755" s="2">
        <v>3</v>
      </c>
      <c r="F755" s="2">
        <v>1051.6099999999999</v>
      </c>
      <c r="G755" s="8">
        <f>Table1[[#This Row],[Quantity]]*Table1[[#This Row],[Price]]</f>
        <v>3154.83</v>
      </c>
    </row>
    <row r="756" spans="1:7" ht="21" customHeight="1" x14ac:dyDescent="0.3">
      <c r="A756" s="3" t="s">
        <v>236</v>
      </c>
      <c r="B756" s="3" t="str">
        <f>TEXT(Table1[[#This Row],[Date]], "YYYY-mm")</f>
        <v>2024-09</v>
      </c>
      <c r="C756" s="4" t="s">
        <v>7</v>
      </c>
      <c r="D756" s="4" t="s">
        <v>8</v>
      </c>
      <c r="E756" s="4">
        <v>11</v>
      </c>
      <c r="F756" s="4">
        <v>23.01</v>
      </c>
      <c r="G756" s="9">
        <f>Table1[[#This Row],[Quantity]]*Table1[[#This Row],[Price]]</f>
        <v>253.11</v>
      </c>
    </row>
    <row r="757" spans="1:7" ht="21" customHeight="1" x14ac:dyDescent="0.3">
      <c r="A757" s="1" t="s">
        <v>342</v>
      </c>
      <c r="B757" s="1" t="str">
        <f>TEXT(Table1[[#This Row],[Date]], "YYYY-mm")</f>
        <v>2024-01</v>
      </c>
      <c r="C757" s="2" t="s">
        <v>12</v>
      </c>
      <c r="D757" s="2" t="s">
        <v>13</v>
      </c>
      <c r="E757" s="2">
        <v>8</v>
      </c>
      <c r="F757" s="2">
        <v>465.96</v>
      </c>
      <c r="G757" s="8">
        <f>Table1[[#This Row],[Quantity]]*Table1[[#This Row],[Price]]</f>
        <v>3727.68</v>
      </c>
    </row>
    <row r="758" spans="1:7" ht="21" customHeight="1" x14ac:dyDescent="0.3">
      <c r="A758" s="3" t="s">
        <v>343</v>
      </c>
      <c r="B758" s="3" t="str">
        <f>TEXT(Table1[[#This Row],[Date]], "YYYY-mm")</f>
        <v>2024-05</v>
      </c>
      <c r="C758" s="4" t="s">
        <v>15</v>
      </c>
      <c r="D758" s="4" t="s">
        <v>8</v>
      </c>
      <c r="E758" s="4">
        <v>8</v>
      </c>
      <c r="F758" s="4">
        <v>3.88</v>
      </c>
      <c r="G758" s="9">
        <f>Table1[[#This Row],[Quantity]]*Table1[[#This Row],[Price]]</f>
        <v>31.04</v>
      </c>
    </row>
    <row r="759" spans="1:7" ht="21" customHeight="1" x14ac:dyDescent="0.3">
      <c r="A759" s="1" t="s">
        <v>77</v>
      </c>
      <c r="B759" s="1" t="str">
        <f>TEXT(Table1[[#This Row],[Date]], "YYYY-mm")</f>
        <v>2024-09</v>
      </c>
      <c r="C759" s="2" t="s">
        <v>44</v>
      </c>
      <c r="D759" s="2" t="s">
        <v>8</v>
      </c>
      <c r="E759" s="2">
        <v>7</v>
      </c>
      <c r="F759" s="2">
        <v>9.2799999999999994</v>
      </c>
      <c r="G759" s="8">
        <f>Table1[[#This Row],[Quantity]]*Table1[[#This Row],[Price]]</f>
        <v>64.959999999999994</v>
      </c>
    </row>
    <row r="760" spans="1:7" ht="21" customHeight="1" x14ac:dyDescent="0.3">
      <c r="A760" s="3" t="s">
        <v>299</v>
      </c>
      <c r="B760" s="3" t="str">
        <f>TEXT(Table1[[#This Row],[Date]], "YYYY-mm")</f>
        <v>2024-11</v>
      </c>
      <c r="C760" s="4" t="s">
        <v>39</v>
      </c>
      <c r="D760" s="4" t="s">
        <v>8</v>
      </c>
      <c r="E760" s="4">
        <v>9</v>
      </c>
      <c r="F760" s="4">
        <v>7.47</v>
      </c>
      <c r="G760" s="9">
        <f>Table1[[#This Row],[Quantity]]*Table1[[#This Row],[Price]]</f>
        <v>67.23</v>
      </c>
    </row>
    <row r="761" spans="1:7" ht="21" customHeight="1" x14ac:dyDescent="0.3">
      <c r="A761" s="1" t="s">
        <v>321</v>
      </c>
      <c r="B761" s="1" t="str">
        <f>TEXT(Table1[[#This Row],[Date]], "YYYY-mm")</f>
        <v>2024-05</v>
      </c>
      <c r="C761" s="2" t="s">
        <v>27</v>
      </c>
      <c r="D761" s="2" t="s">
        <v>8</v>
      </c>
      <c r="E761" s="2">
        <v>9</v>
      </c>
      <c r="F761" s="2">
        <v>153.36000000000001</v>
      </c>
      <c r="G761" s="8">
        <f>Table1[[#This Row],[Quantity]]*Table1[[#This Row],[Price]]</f>
        <v>1380.2400000000002</v>
      </c>
    </row>
    <row r="762" spans="1:7" ht="21" customHeight="1" x14ac:dyDescent="0.3">
      <c r="A762" s="3" t="s">
        <v>289</v>
      </c>
      <c r="B762" s="3" t="str">
        <f>TEXT(Table1[[#This Row],[Date]], "YYYY-mm")</f>
        <v>2024-06</v>
      </c>
      <c r="C762" s="4" t="s">
        <v>29</v>
      </c>
      <c r="D762" s="4" t="s">
        <v>19</v>
      </c>
      <c r="E762" s="4">
        <v>10</v>
      </c>
      <c r="F762" s="4">
        <v>860.04</v>
      </c>
      <c r="G762" s="9">
        <f>Table1[[#This Row],[Quantity]]*Table1[[#This Row],[Price]]</f>
        <v>8600.4</v>
      </c>
    </row>
    <row r="763" spans="1:7" ht="21" customHeight="1" x14ac:dyDescent="0.3">
      <c r="A763" s="1" t="s">
        <v>344</v>
      </c>
      <c r="B763" s="1" t="str">
        <f>TEXT(Table1[[#This Row],[Date]], "YYYY-mm")</f>
        <v>2024-04</v>
      </c>
      <c r="C763" s="2" t="s">
        <v>29</v>
      </c>
      <c r="D763" s="2" t="s">
        <v>19</v>
      </c>
      <c r="E763" s="2">
        <v>13</v>
      </c>
      <c r="F763" s="2">
        <v>500.11</v>
      </c>
      <c r="G763" s="8">
        <f>Table1[[#This Row],[Quantity]]*Table1[[#This Row],[Price]]</f>
        <v>6501.43</v>
      </c>
    </row>
    <row r="764" spans="1:7" ht="21" customHeight="1" x14ac:dyDescent="0.3">
      <c r="A764" s="3" t="s">
        <v>129</v>
      </c>
      <c r="B764" s="3" t="str">
        <f>TEXT(Table1[[#This Row],[Date]], "YYYY-mm")</f>
        <v>2024-04</v>
      </c>
      <c r="C764" s="4" t="s">
        <v>39</v>
      </c>
      <c r="D764" s="4" t="s">
        <v>8</v>
      </c>
      <c r="E764" s="4">
        <v>3</v>
      </c>
      <c r="F764" s="4">
        <v>3.15</v>
      </c>
      <c r="G764" s="9">
        <f>Table1[[#This Row],[Quantity]]*Table1[[#This Row],[Price]]</f>
        <v>9.4499999999999993</v>
      </c>
    </row>
    <row r="765" spans="1:7" ht="21" customHeight="1" x14ac:dyDescent="0.3">
      <c r="A765" s="1" t="s">
        <v>96</v>
      </c>
      <c r="B765" s="1" t="str">
        <f>TEXT(Table1[[#This Row],[Date]], "YYYY-mm")</f>
        <v>2024-07</v>
      </c>
      <c r="C765" s="2" t="s">
        <v>10</v>
      </c>
      <c r="D765" s="2" t="s">
        <v>8</v>
      </c>
      <c r="E765" s="2">
        <v>13</v>
      </c>
      <c r="F765" s="2">
        <v>75.040000000000006</v>
      </c>
      <c r="G765" s="8">
        <f>Table1[[#This Row],[Quantity]]*Table1[[#This Row],[Price]]</f>
        <v>975.5200000000001</v>
      </c>
    </row>
    <row r="766" spans="1:7" ht="21" customHeight="1" x14ac:dyDescent="0.3">
      <c r="A766" s="3" t="s">
        <v>33</v>
      </c>
      <c r="B766" s="3" t="str">
        <f>TEXT(Table1[[#This Row],[Date]], "YYYY-mm")</f>
        <v>2024-03</v>
      </c>
      <c r="C766" s="4" t="s">
        <v>10</v>
      </c>
      <c r="D766" s="4" t="s">
        <v>8</v>
      </c>
      <c r="E766" s="4">
        <v>15</v>
      </c>
      <c r="F766" s="4">
        <v>62.88</v>
      </c>
      <c r="G766" s="9">
        <f>Table1[[#This Row],[Quantity]]*Table1[[#This Row],[Price]]</f>
        <v>943.2</v>
      </c>
    </row>
    <row r="767" spans="1:7" ht="21" customHeight="1" x14ac:dyDescent="0.3">
      <c r="A767" s="1" t="s">
        <v>300</v>
      </c>
      <c r="B767" s="1" t="str">
        <f>TEXT(Table1[[#This Row],[Date]], "YYYY-mm")</f>
        <v>2024-04</v>
      </c>
      <c r="C767" s="2" t="s">
        <v>15</v>
      </c>
      <c r="D767" s="2" t="s">
        <v>8</v>
      </c>
      <c r="E767" s="2">
        <v>7</v>
      </c>
      <c r="F767" s="2">
        <v>7.26</v>
      </c>
      <c r="G767" s="8">
        <f>Table1[[#This Row],[Quantity]]*Table1[[#This Row],[Price]]</f>
        <v>50.82</v>
      </c>
    </row>
    <row r="768" spans="1:7" ht="21" customHeight="1" x14ac:dyDescent="0.3">
      <c r="A768" s="3" t="s">
        <v>33</v>
      </c>
      <c r="B768" s="3" t="str">
        <f>TEXT(Table1[[#This Row],[Date]], "YYYY-mm")</f>
        <v>2024-03</v>
      </c>
      <c r="C768" s="4" t="s">
        <v>12</v>
      </c>
      <c r="D768" s="4" t="s">
        <v>13</v>
      </c>
      <c r="E768" s="4">
        <v>12</v>
      </c>
      <c r="F768" s="4">
        <v>547.59</v>
      </c>
      <c r="G768" s="9">
        <f>Table1[[#This Row],[Quantity]]*Table1[[#This Row],[Price]]</f>
        <v>6571.08</v>
      </c>
    </row>
    <row r="769" spans="1:7" ht="21" customHeight="1" x14ac:dyDescent="0.3">
      <c r="A769" s="1" t="s">
        <v>99</v>
      </c>
      <c r="B769" s="1" t="str">
        <f>TEXT(Table1[[#This Row],[Date]], "YYYY-mm")</f>
        <v>2024-08</v>
      </c>
      <c r="C769" s="2" t="s">
        <v>12</v>
      </c>
      <c r="D769" s="2" t="s">
        <v>13</v>
      </c>
      <c r="E769" s="2">
        <v>14</v>
      </c>
      <c r="F769" s="2">
        <v>183.25</v>
      </c>
      <c r="G769" s="8">
        <f>Table1[[#This Row],[Quantity]]*Table1[[#This Row],[Price]]</f>
        <v>2565.5</v>
      </c>
    </row>
    <row r="770" spans="1:7" ht="21" customHeight="1" x14ac:dyDescent="0.3">
      <c r="A770" s="3" t="s">
        <v>209</v>
      </c>
      <c r="B770" s="3" t="str">
        <f>TEXT(Table1[[#This Row],[Date]], "YYYY-mm")</f>
        <v>2024-04</v>
      </c>
      <c r="C770" s="4" t="s">
        <v>10</v>
      </c>
      <c r="D770" s="4" t="s">
        <v>8</v>
      </c>
      <c r="E770" s="4">
        <v>12</v>
      </c>
      <c r="F770" s="4">
        <v>90.77</v>
      </c>
      <c r="G770" s="9">
        <f>Table1[[#This Row],[Quantity]]*Table1[[#This Row],[Price]]</f>
        <v>1089.24</v>
      </c>
    </row>
    <row r="771" spans="1:7" ht="21" customHeight="1" x14ac:dyDescent="0.3">
      <c r="A771" s="1" t="s">
        <v>119</v>
      </c>
      <c r="B771" s="1" t="str">
        <f>TEXT(Table1[[#This Row],[Date]], "YYYY-mm")</f>
        <v>2024-08</v>
      </c>
      <c r="C771" s="2" t="s">
        <v>10</v>
      </c>
      <c r="D771" s="2" t="s">
        <v>8</v>
      </c>
      <c r="E771" s="2">
        <v>4</v>
      </c>
      <c r="F771" s="2">
        <v>69.47</v>
      </c>
      <c r="G771" s="8">
        <f>Table1[[#This Row],[Quantity]]*Table1[[#This Row],[Price]]</f>
        <v>277.88</v>
      </c>
    </row>
    <row r="772" spans="1:7" ht="21" customHeight="1" x14ac:dyDescent="0.3">
      <c r="A772" s="3" t="s">
        <v>21</v>
      </c>
      <c r="B772" s="3" t="str">
        <f>TEXT(Table1[[#This Row],[Date]], "YYYY-mm")</f>
        <v>2024-03</v>
      </c>
      <c r="C772" s="4" t="s">
        <v>39</v>
      </c>
      <c r="D772" s="4" t="s">
        <v>8</v>
      </c>
      <c r="E772" s="4">
        <v>5</v>
      </c>
      <c r="F772" s="4">
        <v>3.82</v>
      </c>
      <c r="G772" s="9">
        <f>Table1[[#This Row],[Quantity]]*Table1[[#This Row],[Price]]</f>
        <v>19.099999999999998</v>
      </c>
    </row>
    <row r="773" spans="1:7" ht="21" customHeight="1" x14ac:dyDescent="0.3">
      <c r="A773" s="1" t="s">
        <v>52</v>
      </c>
      <c r="B773" s="1" t="str">
        <f>TEXT(Table1[[#This Row],[Date]], "YYYY-mm")</f>
        <v>2024-12</v>
      </c>
      <c r="C773" s="2" t="s">
        <v>29</v>
      </c>
      <c r="D773" s="2" t="s">
        <v>19</v>
      </c>
      <c r="E773" s="2">
        <v>6</v>
      </c>
      <c r="F773" s="2">
        <v>1628.03</v>
      </c>
      <c r="G773" s="8">
        <f>Table1[[#This Row],[Quantity]]*Table1[[#This Row],[Price]]</f>
        <v>9768.18</v>
      </c>
    </row>
    <row r="774" spans="1:7" ht="21" customHeight="1" x14ac:dyDescent="0.3">
      <c r="A774" s="3" t="s">
        <v>28</v>
      </c>
      <c r="B774" s="3" t="str">
        <f>TEXT(Table1[[#This Row],[Date]], "YYYY-mm")</f>
        <v>2024-02</v>
      </c>
      <c r="C774" s="4" t="s">
        <v>39</v>
      </c>
      <c r="D774" s="4" t="s">
        <v>8</v>
      </c>
      <c r="E774" s="4">
        <v>12</v>
      </c>
      <c r="F774" s="4">
        <v>2.5299999999999998</v>
      </c>
      <c r="G774" s="9">
        <f>Table1[[#This Row],[Quantity]]*Table1[[#This Row],[Price]]</f>
        <v>30.36</v>
      </c>
    </row>
    <row r="775" spans="1:7" ht="21" customHeight="1" x14ac:dyDescent="0.3">
      <c r="A775" s="1" t="s">
        <v>255</v>
      </c>
      <c r="B775" s="1" t="str">
        <f>TEXT(Table1[[#This Row],[Date]], "YYYY-mm")</f>
        <v>2024-09</v>
      </c>
      <c r="C775" s="2" t="s">
        <v>15</v>
      </c>
      <c r="D775" s="2" t="s">
        <v>8</v>
      </c>
      <c r="E775" s="2">
        <v>13</v>
      </c>
      <c r="F775" s="2">
        <v>9.75</v>
      </c>
      <c r="G775" s="8">
        <f>Table1[[#This Row],[Quantity]]*Table1[[#This Row],[Price]]</f>
        <v>126.75</v>
      </c>
    </row>
    <row r="776" spans="1:7" ht="21" customHeight="1" x14ac:dyDescent="0.3">
      <c r="A776" s="3" t="s">
        <v>147</v>
      </c>
      <c r="B776" s="3" t="str">
        <f>TEXT(Table1[[#This Row],[Date]], "YYYY-mm")</f>
        <v>2024-08</v>
      </c>
      <c r="C776" s="4" t="s">
        <v>29</v>
      </c>
      <c r="D776" s="4" t="s">
        <v>19</v>
      </c>
      <c r="E776" s="4">
        <v>11</v>
      </c>
      <c r="F776" s="4">
        <v>1181.42</v>
      </c>
      <c r="G776" s="9">
        <f>Table1[[#This Row],[Quantity]]*Table1[[#This Row],[Price]]</f>
        <v>12995.62</v>
      </c>
    </row>
    <row r="777" spans="1:7" ht="21" customHeight="1" x14ac:dyDescent="0.3">
      <c r="A777" s="1" t="s">
        <v>300</v>
      </c>
      <c r="B777" s="1" t="str">
        <f>TEXT(Table1[[#This Row],[Date]], "YYYY-mm")</f>
        <v>2024-04</v>
      </c>
      <c r="C777" s="2" t="s">
        <v>39</v>
      </c>
      <c r="D777" s="2" t="s">
        <v>8</v>
      </c>
      <c r="E777" s="2">
        <v>9</v>
      </c>
      <c r="F777" s="2">
        <v>5.43</v>
      </c>
      <c r="G777" s="8">
        <f>Table1[[#This Row],[Quantity]]*Table1[[#This Row],[Price]]</f>
        <v>48.87</v>
      </c>
    </row>
    <row r="778" spans="1:7" ht="21" customHeight="1" x14ac:dyDescent="0.3">
      <c r="A778" s="3" t="s">
        <v>140</v>
      </c>
      <c r="B778" s="3" t="str">
        <f>TEXT(Table1[[#This Row],[Date]], "YYYY-mm")</f>
        <v>2024-01</v>
      </c>
      <c r="C778" s="4" t="s">
        <v>18</v>
      </c>
      <c r="D778" s="4" t="s">
        <v>19</v>
      </c>
      <c r="E778" s="4">
        <v>6</v>
      </c>
      <c r="F778" s="4">
        <v>1053.55</v>
      </c>
      <c r="G778" s="9">
        <f>Table1[[#This Row],[Quantity]]*Table1[[#This Row],[Price]]</f>
        <v>6321.2999999999993</v>
      </c>
    </row>
    <row r="779" spans="1:7" ht="21" customHeight="1" x14ac:dyDescent="0.3">
      <c r="A779" s="1" t="s">
        <v>289</v>
      </c>
      <c r="B779" s="1" t="str">
        <f>TEXT(Table1[[#This Row],[Date]], "YYYY-mm")</f>
        <v>2024-06</v>
      </c>
      <c r="C779" s="2" t="s">
        <v>27</v>
      </c>
      <c r="D779" s="2" t="s">
        <v>8</v>
      </c>
      <c r="E779" s="2">
        <v>8</v>
      </c>
      <c r="F779" s="2">
        <v>221.9</v>
      </c>
      <c r="G779" s="8">
        <f>Table1[[#This Row],[Quantity]]*Table1[[#This Row],[Price]]</f>
        <v>1775.2</v>
      </c>
    </row>
    <row r="780" spans="1:7" ht="21" customHeight="1" x14ac:dyDescent="0.3">
      <c r="A780" s="3" t="s">
        <v>178</v>
      </c>
      <c r="B780" s="3" t="str">
        <f>TEXT(Table1[[#This Row],[Date]], "YYYY-mm")</f>
        <v>2024-01</v>
      </c>
      <c r="C780" s="4" t="s">
        <v>27</v>
      </c>
      <c r="D780" s="4" t="s">
        <v>8</v>
      </c>
      <c r="E780" s="4">
        <v>7</v>
      </c>
      <c r="F780" s="4">
        <v>156.01</v>
      </c>
      <c r="G780" s="9">
        <f>Table1[[#This Row],[Quantity]]*Table1[[#This Row],[Price]]</f>
        <v>1092.07</v>
      </c>
    </row>
    <row r="781" spans="1:7" ht="21" customHeight="1" x14ac:dyDescent="0.3">
      <c r="A781" s="1" t="s">
        <v>46</v>
      </c>
      <c r="B781" s="1" t="str">
        <f>TEXT(Table1[[#This Row],[Date]], "YYYY-mm")</f>
        <v>2024-05</v>
      </c>
      <c r="C781" s="2" t="s">
        <v>7</v>
      </c>
      <c r="D781" s="2" t="s">
        <v>8</v>
      </c>
      <c r="E781" s="2">
        <v>8</v>
      </c>
      <c r="F781" s="2">
        <v>79.7</v>
      </c>
      <c r="G781" s="8">
        <f>Table1[[#This Row],[Quantity]]*Table1[[#This Row],[Price]]</f>
        <v>637.6</v>
      </c>
    </row>
    <row r="782" spans="1:7" ht="21" customHeight="1" x14ac:dyDescent="0.3">
      <c r="A782" s="3" t="s">
        <v>106</v>
      </c>
      <c r="B782" s="3" t="str">
        <f>TEXT(Table1[[#This Row],[Date]], "YYYY-mm")</f>
        <v>2024-06</v>
      </c>
      <c r="C782" s="4" t="s">
        <v>18</v>
      </c>
      <c r="D782" s="4" t="s">
        <v>19</v>
      </c>
      <c r="E782" s="4">
        <v>6</v>
      </c>
      <c r="F782" s="4">
        <v>1107.9000000000001</v>
      </c>
      <c r="G782" s="9">
        <f>Table1[[#This Row],[Quantity]]*Table1[[#This Row],[Price]]</f>
        <v>6647.4000000000005</v>
      </c>
    </row>
    <row r="783" spans="1:7" ht="21" customHeight="1" x14ac:dyDescent="0.3">
      <c r="A783" s="1" t="s">
        <v>162</v>
      </c>
      <c r="B783" s="1" t="str">
        <f>TEXT(Table1[[#This Row],[Date]], "YYYY-mm")</f>
        <v>2024-05</v>
      </c>
      <c r="C783" s="2" t="s">
        <v>7</v>
      </c>
      <c r="D783" s="2" t="s">
        <v>8</v>
      </c>
      <c r="E783" s="2">
        <v>6</v>
      </c>
      <c r="F783" s="2">
        <v>62.77</v>
      </c>
      <c r="G783" s="8">
        <f>Table1[[#This Row],[Quantity]]*Table1[[#This Row],[Price]]</f>
        <v>376.62</v>
      </c>
    </row>
    <row r="784" spans="1:7" ht="21" customHeight="1" x14ac:dyDescent="0.3">
      <c r="A784" s="3" t="s">
        <v>47</v>
      </c>
      <c r="B784" s="3" t="str">
        <f>TEXT(Table1[[#This Row],[Date]], "YYYY-mm")</f>
        <v>2024-09</v>
      </c>
      <c r="C784" s="4" t="s">
        <v>29</v>
      </c>
      <c r="D784" s="4" t="s">
        <v>19</v>
      </c>
      <c r="E784" s="4">
        <v>2</v>
      </c>
      <c r="F784" s="4">
        <v>2128.46</v>
      </c>
      <c r="G784" s="9">
        <f>Table1[[#This Row],[Quantity]]*Table1[[#This Row],[Price]]</f>
        <v>4256.92</v>
      </c>
    </row>
    <row r="785" spans="1:7" ht="21" customHeight="1" x14ac:dyDescent="0.3">
      <c r="A785" s="1" t="s">
        <v>152</v>
      </c>
      <c r="B785" s="1" t="str">
        <f>TEXT(Table1[[#This Row],[Date]], "YYYY-mm")</f>
        <v>2024-05</v>
      </c>
      <c r="C785" s="2" t="s">
        <v>39</v>
      </c>
      <c r="D785" s="2" t="s">
        <v>8</v>
      </c>
      <c r="E785" s="2">
        <v>7</v>
      </c>
      <c r="F785" s="2">
        <v>4.49</v>
      </c>
      <c r="G785" s="8">
        <f>Table1[[#This Row],[Quantity]]*Table1[[#This Row],[Price]]</f>
        <v>31.43</v>
      </c>
    </row>
    <row r="786" spans="1:7" ht="21" customHeight="1" x14ac:dyDescent="0.3">
      <c r="A786" s="3" t="s">
        <v>89</v>
      </c>
      <c r="B786" s="3" t="str">
        <f>TEXT(Table1[[#This Row],[Date]], "YYYY-mm")</f>
        <v>2024-10</v>
      </c>
      <c r="C786" s="4" t="s">
        <v>27</v>
      </c>
      <c r="D786" s="4" t="s">
        <v>8</v>
      </c>
      <c r="E786" s="4">
        <v>6</v>
      </c>
      <c r="F786" s="4">
        <v>187.56</v>
      </c>
      <c r="G786" s="9">
        <f>Table1[[#This Row],[Quantity]]*Table1[[#This Row],[Price]]</f>
        <v>1125.3600000000001</v>
      </c>
    </row>
    <row r="787" spans="1:7" ht="21" customHeight="1" x14ac:dyDescent="0.3">
      <c r="A787" s="1" t="s">
        <v>80</v>
      </c>
      <c r="B787" s="1" t="str">
        <f>TEXT(Table1[[#This Row],[Date]], "YYYY-mm")</f>
        <v>2024-01</v>
      </c>
      <c r="C787" s="2" t="s">
        <v>15</v>
      </c>
      <c r="D787" s="2" t="s">
        <v>8</v>
      </c>
      <c r="E787" s="2">
        <v>4</v>
      </c>
      <c r="F787" s="2">
        <v>8.89</v>
      </c>
      <c r="G787" s="8">
        <f>Table1[[#This Row],[Quantity]]*Table1[[#This Row],[Price]]</f>
        <v>35.56</v>
      </c>
    </row>
    <row r="788" spans="1:7" ht="21" customHeight="1" x14ac:dyDescent="0.3">
      <c r="A788" s="3" t="s">
        <v>238</v>
      </c>
      <c r="B788" s="3" t="str">
        <f>TEXT(Table1[[#This Row],[Date]], "YYYY-mm")</f>
        <v>2024-07</v>
      </c>
      <c r="C788" s="4" t="s">
        <v>29</v>
      </c>
      <c r="D788" s="4" t="s">
        <v>19</v>
      </c>
      <c r="E788" s="4">
        <v>8</v>
      </c>
      <c r="F788" s="4">
        <v>1624.4</v>
      </c>
      <c r="G788" s="9">
        <f>Table1[[#This Row],[Quantity]]*Table1[[#This Row],[Price]]</f>
        <v>12995.2</v>
      </c>
    </row>
    <row r="789" spans="1:7" ht="21" customHeight="1" x14ac:dyDescent="0.3">
      <c r="A789" s="1" t="s">
        <v>134</v>
      </c>
      <c r="B789" s="1" t="str">
        <f>TEXT(Table1[[#This Row],[Date]], "YYYY-mm")</f>
        <v>2024-08</v>
      </c>
      <c r="C789" s="2" t="s">
        <v>44</v>
      </c>
      <c r="D789" s="2" t="s">
        <v>8</v>
      </c>
      <c r="E789" s="2">
        <v>6</v>
      </c>
      <c r="F789" s="2">
        <v>9.1999999999999993</v>
      </c>
      <c r="G789" s="8">
        <f>Table1[[#This Row],[Quantity]]*Table1[[#This Row],[Price]]</f>
        <v>55.199999999999996</v>
      </c>
    </row>
    <row r="790" spans="1:7" ht="21" customHeight="1" x14ac:dyDescent="0.3">
      <c r="A790" s="3" t="s">
        <v>293</v>
      </c>
      <c r="B790" s="3" t="str">
        <f>TEXT(Table1[[#This Row],[Date]], "YYYY-mm")</f>
        <v>2024-02</v>
      </c>
      <c r="C790" s="4" t="s">
        <v>12</v>
      </c>
      <c r="D790" s="4" t="s">
        <v>13</v>
      </c>
      <c r="E790" s="4">
        <v>3</v>
      </c>
      <c r="F790" s="4">
        <v>332.26</v>
      </c>
      <c r="G790" s="9">
        <f>Table1[[#This Row],[Quantity]]*Table1[[#This Row],[Price]]</f>
        <v>996.78</v>
      </c>
    </row>
    <row r="791" spans="1:7" ht="21" customHeight="1" x14ac:dyDescent="0.3">
      <c r="A791" s="1" t="s">
        <v>248</v>
      </c>
      <c r="B791" s="1" t="str">
        <f>TEXT(Table1[[#This Row],[Date]], "YYYY-mm")</f>
        <v>2024-01</v>
      </c>
      <c r="C791" s="2" t="s">
        <v>44</v>
      </c>
      <c r="D791" s="2" t="s">
        <v>8</v>
      </c>
      <c r="E791" s="2">
        <v>5</v>
      </c>
      <c r="F791" s="2">
        <v>14.28</v>
      </c>
      <c r="G791" s="8">
        <f>Table1[[#This Row],[Quantity]]*Table1[[#This Row],[Price]]</f>
        <v>71.399999999999991</v>
      </c>
    </row>
    <row r="792" spans="1:7" ht="21" customHeight="1" x14ac:dyDescent="0.3">
      <c r="A792" s="3" t="s">
        <v>166</v>
      </c>
      <c r="B792" s="3" t="str">
        <f>TEXT(Table1[[#This Row],[Date]], "YYYY-mm")</f>
        <v>2024-12</v>
      </c>
      <c r="C792" s="4" t="s">
        <v>12</v>
      </c>
      <c r="D792" s="4" t="s">
        <v>13</v>
      </c>
      <c r="E792" s="4">
        <v>8</v>
      </c>
      <c r="F792" s="4">
        <v>314.39999999999998</v>
      </c>
      <c r="G792" s="9">
        <f>Table1[[#This Row],[Quantity]]*Table1[[#This Row],[Price]]</f>
        <v>2515.1999999999998</v>
      </c>
    </row>
    <row r="793" spans="1:7" ht="21" customHeight="1" x14ac:dyDescent="0.3">
      <c r="A793" s="1" t="s">
        <v>271</v>
      </c>
      <c r="B793" s="1" t="str">
        <f>TEXT(Table1[[#This Row],[Date]], "YYYY-mm")</f>
        <v>2024-04</v>
      </c>
      <c r="C793" s="2" t="s">
        <v>12</v>
      </c>
      <c r="D793" s="2" t="s">
        <v>13</v>
      </c>
      <c r="E793" s="2">
        <v>13</v>
      </c>
      <c r="F793" s="2">
        <v>590.94000000000005</v>
      </c>
      <c r="G793" s="8">
        <f>Table1[[#This Row],[Quantity]]*Table1[[#This Row],[Price]]</f>
        <v>7682.2200000000012</v>
      </c>
    </row>
    <row r="794" spans="1:7" ht="21" customHeight="1" x14ac:dyDescent="0.3">
      <c r="A794" s="3" t="s">
        <v>323</v>
      </c>
      <c r="B794" s="3" t="str">
        <f>TEXT(Table1[[#This Row],[Date]], "YYYY-mm")</f>
        <v>2024-10</v>
      </c>
      <c r="C794" s="4" t="s">
        <v>44</v>
      </c>
      <c r="D794" s="4" t="s">
        <v>8</v>
      </c>
      <c r="E794" s="4">
        <v>2</v>
      </c>
      <c r="F794" s="4">
        <v>13.17</v>
      </c>
      <c r="G794" s="9">
        <f>Table1[[#This Row],[Quantity]]*Table1[[#This Row],[Price]]</f>
        <v>26.34</v>
      </c>
    </row>
    <row r="795" spans="1:7" ht="21" customHeight="1" x14ac:dyDescent="0.3">
      <c r="A795" s="1" t="s">
        <v>196</v>
      </c>
      <c r="B795" s="1" t="str">
        <f>TEXT(Table1[[#This Row],[Date]], "YYYY-mm")</f>
        <v>2024-10</v>
      </c>
      <c r="C795" s="2" t="s">
        <v>10</v>
      </c>
      <c r="D795" s="2" t="s">
        <v>8</v>
      </c>
      <c r="E795" s="2">
        <v>7</v>
      </c>
      <c r="F795" s="2">
        <v>56.53</v>
      </c>
      <c r="G795" s="8">
        <f>Table1[[#This Row],[Quantity]]*Table1[[#This Row],[Price]]</f>
        <v>395.71000000000004</v>
      </c>
    </row>
    <row r="796" spans="1:7" ht="21" customHeight="1" x14ac:dyDescent="0.3">
      <c r="A796" s="3" t="s">
        <v>175</v>
      </c>
      <c r="B796" s="3" t="str">
        <f>TEXT(Table1[[#This Row],[Date]], "YYYY-mm")</f>
        <v>2024-07</v>
      </c>
      <c r="C796" s="4" t="s">
        <v>22</v>
      </c>
      <c r="D796" s="4" t="s">
        <v>13</v>
      </c>
      <c r="E796" s="4">
        <v>9</v>
      </c>
      <c r="F796" s="4">
        <v>1856.02</v>
      </c>
      <c r="G796" s="9">
        <f>Table1[[#This Row],[Quantity]]*Table1[[#This Row],[Price]]</f>
        <v>16704.18</v>
      </c>
    </row>
    <row r="797" spans="1:7" ht="21" customHeight="1" x14ac:dyDescent="0.3">
      <c r="A797" s="1" t="s">
        <v>32</v>
      </c>
      <c r="B797" s="1" t="str">
        <f>TEXT(Table1[[#This Row],[Date]], "YYYY-mm")</f>
        <v>2024-11</v>
      </c>
      <c r="C797" s="2" t="s">
        <v>27</v>
      </c>
      <c r="D797" s="2" t="s">
        <v>8</v>
      </c>
      <c r="E797" s="2">
        <v>14</v>
      </c>
      <c r="F797" s="2">
        <v>91.26</v>
      </c>
      <c r="G797" s="8">
        <f>Table1[[#This Row],[Quantity]]*Table1[[#This Row],[Price]]</f>
        <v>1277.6400000000001</v>
      </c>
    </row>
    <row r="798" spans="1:7" ht="21" customHeight="1" x14ac:dyDescent="0.3">
      <c r="A798" s="3" t="s">
        <v>337</v>
      </c>
      <c r="B798" s="3" t="str">
        <f>TEXT(Table1[[#This Row],[Date]], "YYYY-mm")</f>
        <v>2024-05</v>
      </c>
      <c r="C798" s="4" t="s">
        <v>10</v>
      </c>
      <c r="D798" s="4" t="s">
        <v>8</v>
      </c>
      <c r="E798" s="4">
        <v>3</v>
      </c>
      <c r="F798" s="4">
        <v>119.34</v>
      </c>
      <c r="G798" s="9">
        <f>Table1[[#This Row],[Quantity]]*Table1[[#This Row],[Price]]</f>
        <v>358.02</v>
      </c>
    </row>
    <row r="799" spans="1:7" ht="21" customHeight="1" x14ac:dyDescent="0.3">
      <c r="A799" s="1" t="s">
        <v>141</v>
      </c>
      <c r="B799" s="1" t="str">
        <f>TEXT(Table1[[#This Row],[Date]], "YYYY-mm")</f>
        <v>2024-12</v>
      </c>
      <c r="C799" s="2" t="s">
        <v>18</v>
      </c>
      <c r="D799" s="2" t="s">
        <v>19</v>
      </c>
      <c r="E799" s="2">
        <v>7</v>
      </c>
      <c r="F799" s="2">
        <v>911.78</v>
      </c>
      <c r="G799" s="8">
        <f>Table1[[#This Row],[Quantity]]*Table1[[#This Row],[Price]]</f>
        <v>6382.46</v>
      </c>
    </row>
    <row r="800" spans="1:7" ht="21" customHeight="1" x14ac:dyDescent="0.3">
      <c r="A800" s="3" t="s">
        <v>66</v>
      </c>
      <c r="B800" s="3" t="str">
        <f>TEXT(Table1[[#This Row],[Date]], "YYYY-mm")</f>
        <v>2024-02</v>
      </c>
      <c r="C800" s="4" t="s">
        <v>15</v>
      </c>
      <c r="D800" s="4" t="s">
        <v>8</v>
      </c>
      <c r="E800" s="4">
        <v>7</v>
      </c>
      <c r="F800" s="4">
        <v>6.86</v>
      </c>
      <c r="G800" s="9">
        <f>Table1[[#This Row],[Quantity]]*Table1[[#This Row],[Price]]</f>
        <v>48.02</v>
      </c>
    </row>
    <row r="801" spans="1:7" ht="21" customHeight="1" x14ac:dyDescent="0.3">
      <c r="A801" s="1" t="s">
        <v>31</v>
      </c>
      <c r="B801" s="1" t="str">
        <f>TEXT(Table1[[#This Row],[Date]], "YYYY-mm")</f>
        <v>2024-08</v>
      </c>
      <c r="C801" s="2" t="s">
        <v>18</v>
      </c>
      <c r="D801" s="2" t="s">
        <v>19</v>
      </c>
      <c r="E801" s="2">
        <v>14</v>
      </c>
      <c r="F801" s="2">
        <v>1460.94</v>
      </c>
      <c r="G801" s="8">
        <f>Table1[[#This Row],[Quantity]]*Table1[[#This Row],[Price]]</f>
        <v>20453.16</v>
      </c>
    </row>
    <row r="802" spans="1:7" ht="21" customHeight="1" x14ac:dyDescent="0.3">
      <c r="A802" s="3" t="s">
        <v>53</v>
      </c>
      <c r="B802" s="3" t="str">
        <f>TEXT(Table1[[#This Row],[Date]], "YYYY-mm")</f>
        <v>2024-05</v>
      </c>
      <c r="C802" s="4" t="s">
        <v>22</v>
      </c>
      <c r="D802" s="4" t="s">
        <v>13</v>
      </c>
      <c r="E802" s="4">
        <v>3</v>
      </c>
      <c r="F802" s="4">
        <v>1121.6600000000001</v>
      </c>
      <c r="G802" s="9">
        <f>Table1[[#This Row],[Quantity]]*Table1[[#This Row],[Price]]</f>
        <v>3364.9800000000005</v>
      </c>
    </row>
    <row r="803" spans="1:7" ht="21" customHeight="1" x14ac:dyDescent="0.3">
      <c r="A803" s="1" t="s">
        <v>327</v>
      </c>
      <c r="B803" s="1" t="str">
        <f>TEXT(Table1[[#This Row],[Date]], "YYYY-mm")</f>
        <v>2024-10</v>
      </c>
      <c r="C803" s="2" t="s">
        <v>29</v>
      </c>
      <c r="D803" s="2" t="s">
        <v>19</v>
      </c>
      <c r="E803" s="2">
        <v>2</v>
      </c>
      <c r="F803" s="2">
        <v>1699.85</v>
      </c>
      <c r="G803" s="8">
        <f>Table1[[#This Row],[Quantity]]*Table1[[#This Row],[Price]]</f>
        <v>3399.7</v>
      </c>
    </row>
    <row r="804" spans="1:7" ht="21" customHeight="1" x14ac:dyDescent="0.3">
      <c r="A804" s="3" t="s">
        <v>215</v>
      </c>
      <c r="B804" s="3" t="str">
        <f>TEXT(Table1[[#This Row],[Date]], "YYYY-mm")</f>
        <v>2024-07</v>
      </c>
      <c r="C804" s="4" t="s">
        <v>15</v>
      </c>
      <c r="D804" s="4" t="s">
        <v>8</v>
      </c>
      <c r="E804" s="4">
        <v>12</v>
      </c>
      <c r="F804" s="4">
        <v>3.79</v>
      </c>
      <c r="G804" s="9">
        <f>Table1[[#This Row],[Quantity]]*Table1[[#This Row],[Price]]</f>
        <v>45.480000000000004</v>
      </c>
    </row>
    <row r="805" spans="1:7" ht="21" customHeight="1" x14ac:dyDescent="0.3">
      <c r="A805" s="1" t="s">
        <v>303</v>
      </c>
      <c r="B805" s="1" t="str">
        <f>TEXT(Table1[[#This Row],[Date]], "YYYY-mm")</f>
        <v>2024-01</v>
      </c>
      <c r="C805" s="2" t="s">
        <v>10</v>
      </c>
      <c r="D805" s="2" t="s">
        <v>8</v>
      </c>
      <c r="E805" s="2">
        <v>5</v>
      </c>
      <c r="F805" s="2">
        <v>83.37</v>
      </c>
      <c r="G805" s="8">
        <f>Table1[[#This Row],[Quantity]]*Table1[[#This Row],[Price]]</f>
        <v>416.85</v>
      </c>
    </row>
    <row r="806" spans="1:7" ht="21" customHeight="1" x14ac:dyDescent="0.3">
      <c r="A806" s="3" t="s">
        <v>125</v>
      </c>
      <c r="B806" s="3" t="str">
        <f>TEXT(Table1[[#This Row],[Date]], "YYYY-mm")</f>
        <v>2024-05</v>
      </c>
      <c r="C806" s="4" t="s">
        <v>22</v>
      </c>
      <c r="D806" s="4" t="s">
        <v>13</v>
      </c>
      <c r="E806" s="4">
        <v>5</v>
      </c>
      <c r="F806" s="4">
        <v>929.31</v>
      </c>
      <c r="G806" s="9">
        <f>Table1[[#This Row],[Quantity]]*Table1[[#This Row],[Price]]</f>
        <v>4646.5499999999993</v>
      </c>
    </row>
    <row r="807" spans="1:7" ht="21" customHeight="1" x14ac:dyDescent="0.3">
      <c r="A807" s="1" t="s">
        <v>87</v>
      </c>
      <c r="B807" s="1" t="str">
        <f>TEXT(Table1[[#This Row],[Date]], "YYYY-mm")</f>
        <v>2024-02</v>
      </c>
      <c r="C807" s="2" t="s">
        <v>18</v>
      </c>
      <c r="D807" s="2" t="s">
        <v>19</v>
      </c>
      <c r="E807" s="2">
        <v>11</v>
      </c>
      <c r="F807" s="2">
        <v>377.65</v>
      </c>
      <c r="G807" s="8">
        <f>Table1[[#This Row],[Quantity]]*Table1[[#This Row],[Price]]</f>
        <v>4154.1499999999996</v>
      </c>
    </row>
    <row r="808" spans="1:7" ht="21" customHeight="1" x14ac:dyDescent="0.3">
      <c r="A808" s="3" t="s">
        <v>129</v>
      </c>
      <c r="B808" s="3" t="str">
        <f>TEXT(Table1[[#This Row],[Date]], "YYYY-mm")</f>
        <v>2024-04</v>
      </c>
      <c r="C808" s="4" t="s">
        <v>27</v>
      </c>
      <c r="D808" s="4" t="s">
        <v>8</v>
      </c>
      <c r="E808" s="4">
        <v>1</v>
      </c>
      <c r="F808" s="4">
        <v>141.36000000000001</v>
      </c>
      <c r="G808" s="9">
        <f>Table1[[#This Row],[Quantity]]*Table1[[#This Row],[Price]]</f>
        <v>141.36000000000001</v>
      </c>
    </row>
    <row r="809" spans="1:7" ht="21" customHeight="1" x14ac:dyDescent="0.3">
      <c r="A809" s="1" t="s">
        <v>341</v>
      </c>
      <c r="B809" s="1" t="str">
        <f>TEXT(Table1[[#This Row],[Date]], "YYYY-mm")</f>
        <v>2024-06</v>
      </c>
      <c r="C809" s="2" t="s">
        <v>27</v>
      </c>
      <c r="D809" s="2" t="s">
        <v>8</v>
      </c>
      <c r="E809" s="2">
        <v>9</v>
      </c>
      <c r="F809" s="2">
        <v>155.52000000000001</v>
      </c>
      <c r="G809" s="8">
        <f>Table1[[#This Row],[Quantity]]*Table1[[#This Row],[Price]]</f>
        <v>1399.68</v>
      </c>
    </row>
    <row r="810" spans="1:7" ht="21" customHeight="1" x14ac:dyDescent="0.3">
      <c r="A810" s="3" t="s">
        <v>210</v>
      </c>
      <c r="B810" s="3" t="str">
        <f>TEXT(Table1[[#This Row],[Date]], "YYYY-mm")</f>
        <v>2024-03</v>
      </c>
      <c r="C810" s="4" t="s">
        <v>12</v>
      </c>
      <c r="D810" s="4" t="s">
        <v>13</v>
      </c>
      <c r="E810" s="4">
        <v>8</v>
      </c>
      <c r="F810" s="4">
        <v>326.74</v>
      </c>
      <c r="G810" s="9">
        <f>Table1[[#This Row],[Quantity]]*Table1[[#This Row],[Price]]</f>
        <v>2613.92</v>
      </c>
    </row>
    <row r="811" spans="1:7" ht="21" customHeight="1" x14ac:dyDescent="0.3">
      <c r="A811" s="1" t="s">
        <v>33</v>
      </c>
      <c r="B811" s="1" t="str">
        <f>TEXT(Table1[[#This Row],[Date]], "YYYY-mm")</f>
        <v>2024-03</v>
      </c>
      <c r="C811" s="2" t="s">
        <v>12</v>
      </c>
      <c r="D811" s="2" t="s">
        <v>13</v>
      </c>
      <c r="E811" s="2">
        <v>7</v>
      </c>
      <c r="F811" s="2">
        <v>207.03</v>
      </c>
      <c r="G811" s="8">
        <f>Table1[[#This Row],[Quantity]]*Table1[[#This Row],[Price]]</f>
        <v>1449.21</v>
      </c>
    </row>
    <row r="812" spans="1:7" ht="21" customHeight="1" x14ac:dyDescent="0.3">
      <c r="A812" s="3" t="s">
        <v>332</v>
      </c>
      <c r="B812" s="3" t="str">
        <f>TEXT(Table1[[#This Row],[Date]], "YYYY-mm")</f>
        <v>2024-04</v>
      </c>
      <c r="C812" s="4" t="s">
        <v>27</v>
      </c>
      <c r="D812" s="4" t="s">
        <v>8</v>
      </c>
      <c r="E812" s="4">
        <v>11</v>
      </c>
      <c r="F812" s="4">
        <v>160.57</v>
      </c>
      <c r="G812" s="9">
        <f>Table1[[#This Row],[Quantity]]*Table1[[#This Row],[Price]]</f>
        <v>1766.27</v>
      </c>
    </row>
    <row r="813" spans="1:7" ht="21" customHeight="1" x14ac:dyDescent="0.3">
      <c r="A813" s="1" t="s">
        <v>338</v>
      </c>
      <c r="B813" s="1" t="str">
        <f>TEXT(Table1[[#This Row],[Date]], "YYYY-mm")</f>
        <v>2024-03</v>
      </c>
      <c r="C813" s="2" t="s">
        <v>39</v>
      </c>
      <c r="D813" s="2" t="s">
        <v>8</v>
      </c>
      <c r="E813" s="2">
        <v>8</v>
      </c>
      <c r="F813" s="2">
        <v>7.84</v>
      </c>
      <c r="G813" s="8">
        <f>Table1[[#This Row],[Quantity]]*Table1[[#This Row],[Price]]</f>
        <v>62.72</v>
      </c>
    </row>
    <row r="814" spans="1:7" ht="21" customHeight="1" x14ac:dyDescent="0.3">
      <c r="A814" s="3" t="s">
        <v>315</v>
      </c>
      <c r="B814" s="3" t="str">
        <f>TEXT(Table1[[#This Row],[Date]], "YYYY-mm")</f>
        <v>2024-07</v>
      </c>
      <c r="C814" s="4" t="s">
        <v>29</v>
      </c>
      <c r="D814" s="4" t="s">
        <v>19</v>
      </c>
      <c r="E814" s="4">
        <v>2</v>
      </c>
      <c r="F814" s="4">
        <v>1242.08</v>
      </c>
      <c r="G814" s="9">
        <f>Table1[[#This Row],[Quantity]]*Table1[[#This Row],[Price]]</f>
        <v>2484.16</v>
      </c>
    </row>
    <row r="815" spans="1:7" ht="21" customHeight="1" x14ac:dyDescent="0.3">
      <c r="A815" s="1" t="s">
        <v>345</v>
      </c>
      <c r="B815" s="1" t="str">
        <f>TEXT(Table1[[#This Row],[Date]], "YYYY-mm")</f>
        <v>2024-11</v>
      </c>
      <c r="C815" s="2" t="s">
        <v>22</v>
      </c>
      <c r="D815" s="2" t="s">
        <v>13</v>
      </c>
      <c r="E815" s="2">
        <v>8</v>
      </c>
      <c r="F815" s="2">
        <v>959.03</v>
      </c>
      <c r="G815" s="8">
        <f>Table1[[#This Row],[Quantity]]*Table1[[#This Row],[Price]]</f>
        <v>7672.24</v>
      </c>
    </row>
    <row r="816" spans="1:7" ht="21" customHeight="1" x14ac:dyDescent="0.3">
      <c r="A816" s="3" t="s">
        <v>185</v>
      </c>
      <c r="B816" s="3" t="str">
        <f>TEXT(Table1[[#This Row],[Date]], "YYYY-mm")</f>
        <v>2024-01</v>
      </c>
      <c r="C816" s="4" t="s">
        <v>7</v>
      </c>
      <c r="D816" s="4" t="s">
        <v>8</v>
      </c>
      <c r="E816" s="4">
        <v>14</v>
      </c>
      <c r="F816" s="4">
        <v>52.73</v>
      </c>
      <c r="G816" s="9">
        <f>Table1[[#This Row],[Quantity]]*Table1[[#This Row],[Price]]</f>
        <v>738.21999999999991</v>
      </c>
    </row>
    <row r="817" spans="1:7" ht="21" customHeight="1" x14ac:dyDescent="0.3">
      <c r="A817" s="1" t="s">
        <v>344</v>
      </c>
      <c r="B817" s="1" t="str">
        <f>TEXT(Table1[[#This Row],[Date]], "YYYY-mm")</f>
        <v>2024-04</v>
      </c>
      <c r="C817" s="2" t="s">
        <v>34</v>
      </c>
      <c r="D817" s="2" t="s">
        <v>19</v>
      </c>
      <c r="E817" s="2">
        <v>14</v>
      </c>
      <c r="F817" s="2">
        <v>1391.95</v>
      </c>
      <c r="G817" s="8">
        <f>Table1[[#This Row],[Quantity]]*Table1[[#This Row],[Price]]</f>
        <v>19487.3</v>
      </c>
    </row>
    <row r="818" spans="1:7" ht="21" customHeight="1" x14ac:dyDescent="0.3">
      <c r="A818" s="3" t="s">
        <v>111</v>
      </c>
      <c r="B818" s="3" t="str">
        <f>TEXT(Table1[[#This Row],[Date]], "YYYY-mm")</f>
        <v>2024-11</v>
      </c>
      <c r="C818" s="4" t="s">
        <v>25</v>
      </c>
      <c r="D818" s="4" t="s">
        <v>19</v>
      </c>
      <c r="E818" s="4">
        <v>14</v>
      </c>
      <c r="F818" s="4">
        <v>559.65</v>
      </c>
      <c r="G818" s="9">
        <f>Table1[[#This Row],[Quantity]]*Table1[[#This Row],[Price]]</f>
        <v>7835.0999999999995</v>
      </c>
    </row>
    <row r="819" spans="1:7" ht="21" customHeight="1" x14ac:dyDescent="0.3">
      <c r="A819" s="1" t="s">
        <v>9</v>
      </c>
      <c r="B819" s="1" t="str">
        <f>TEXT(Table1[[#This Row],[Date]], "YYYY-mm")</f>
        <v>2024-04</v>
      </c>
      <c r="C819" s="2" t="s">
        <v>10</v>
      </c>
      <c r="D819" s="2" t="s">
        <v>8</v>
      </c>
      <c r="E819" s="2">
        <v>4</v>
      </c>
      <c r="F819" s="2">
        <v>43.99</v>
      </c>
      <c r="G819" s="8">
        <f>Table1[[#This Row],[Quantity]]*Table1[[#This Row],[Price]]</f>
        <v>175.96</v>
      </c>
    </row>
    <row r="820" spans="1:7" ht="21" customHeight="1" x14ac:dyDescent="0.3">
      <c r="A820" s="3" t="s">
        <v>346</v>
      </c>
      <c r="B820" s="3" t="str">
        <f>TEXT(Table1[[#This Row],[Date]], "YYYY-mm")</f>
        <v>2024-08</v>
      </c>
      <c r="C820" s="4" t="s">
        <v>44</v>
      </c>
      <c r="D820" s="4" t="s">
        <v>8</v>
      </c>
      <c r="E820" s="4">
        <v>2</v>
      </c>
      <c r="F820" s="4">
        <v>7.53</v>
      </c>
      <c r="G820" s="9">
        <f>Table1[[#This Row],[Quantity]]*Table1[[#This Row],[Price]]</f>
        <v>15.06</v>
      </c>
    </row>
    <row r="821" spans="1:7" ht="21" customHeight="1" x14ac:dyDescent="0.3">
      <c r="A821" s="1" t="s">
        <v>279</v>
      </c>
      <c r="B821" s="1" t="str">
        <f>TEXT(Table1[[#This Row],[Date]], "YYYY-mm")</f>
        <v>2024-02</v>
      </c>
      <c r="C821" s="2" t="s">
        <v>27</v>
      </c>
      <c r="D821" s="2" t="s">
        <v>8</v>
      </c>
      <c r="E821" s="2">
        <v>13</v>
      </c>
      <c r="F821" s="2">
        <v>86.3</v>
      </c>
      <c r="G821" s="8">
        <f>Table1[[#This Row],[Quantity]]*Table1[[#This Row],[Price]]</f>
        <v>1121.8999999999999</v>
      </c>
    </row>
    <row r="822" spans="1:7" ht="21" customHeight="1" x14ac:dyDescent="0.3">
      <c r="A822" s="3" t="s">
        <v>33</v>
      </c>
      <c r="B822" s="3" t="str">
        <f>TEXT(Table1[[#This Row],[Date]], "YYYY-mm")</f>
        <v>2024-03</v>
      </c>
      <c r="C822" s="4" t="s">
        <v>27</v>
      </c>
      <c r="D822" s="4" t="s">
        <v>8</v>
      </c>
      <c r="E822" s="4">
        <v>5</v>
      </c>
      <c r="F822" s="4">
        <v>235.12</v>
      </c>
      <c r="G822" s="9">
        <f>Table1[[#This Row],[Quantity]]*Table1[[#This Row],[Price]]</f>
        <v>1175.5999999999999</v>
      </c>
    </row>
    <row r="823" spans="1:7" ht="21" customHeight="1" x14ac:dyDescent="0.3">
      <c r="A823" s="1" t="s">
        <v>226</v>
      </c>
      <c r="B823" s="1" t="str">
        <f>TEXT(Table1[[#This Row],[Date]], "YYYY-mm")</f>
        <v>2024-07</v>
      </c>
      <c r="C823" s="2" t="s">
        <v>18</v>
      </c>
      <c r="D823" s="2" t="s">
        <v>19</v>
      </c>
      <c r="E823" s="2">
        <v>2</v>
      </c>
      <c r="F823" s="2">
        <v>252.14</v>
      </c>
      <c r="G823" s="8">
        <f>Table1[[#This Row],[Quantity]]*Table1[[#This Row],[Price]]</f>
        <v>504.28</v>
      </c>
    </row>
    <row r="824" spans="1:7" ht="21" customHeight="1" x14ac:dyDescent="0.3">
      <c r="A824" s="3" t="s">
        <v>124</v>
      </c>
      <c r="B824" s="3" t="str">
        <f>TEXT(Table1[[#This Row],[Date]], "YYYY-mm")</f>
        <v>2024-08</v>
      </c>
      <c r="C824" s="4" t="s">
        <v>39</v>
      </c>
      <c r="D824" s="4" t="s">
        <v>8</v>
      </c>
      <c r="E824" s="4">
        <v>9</v>
      </c>
      <c r="F824" s="4">
        <v>5.89</v>
      </c>
      <c r="G824" s="9">
        <f>Table1[[#This Row],[Quantity]]*Table1[[#This Row],[Price]]</f>
        <v>53.01</v>
      </c>
    </row>
    <row r="825" spans="1:7" ht="21" customHeight="1" x14ac:dyDescent="0.3">
      <c r="A825" s="1" t="s">
        <v>80</v>
      </c>
      <c r="B825" s="1" t="str">
        <f>TEXT(Table1[[#This Row],[Date]], "YYYY-mm")</f>
        <v>2024-01</v>
      </c>
      <c r="C825" s="2" t="s">
        <v>12</v>
      </c>
      <c r="D825" s="2" t="s">
        <v>13</v>
      </c>
      <c r="E825" s="2">
        <v>5</v>
      </c>
      <c r="F825" s="2">
        <v>426.53</v>
      </c>
      <c r="G825" s="8">
        <f>Table1[[#This Row],[Quantity]]*Table1[[#This Row],[Price]]</f>
        <v>2132.6499999999996</v>
      </c>
    </row>
    <row r="826" spans="1:7" ht="21" customHeight="1" x14ac:dyDescent="0.3">
      <c r="A826" s="3" t="s">
        <v>114</v>
      </c>
      <c r="B826" s="3" t="str">
        <f>TEXT(Table1[[#This Row],[Date]], "YYYY-mm")</f>
        <v>2024-07</v>
      </c>
      <c r="C826" s="4" t="s">
        <v>22</v>
      </c>
      <c r="D826" s="4" t="s">
        <v>13</v>
      </c>
      <c r="E826" s="4">
        <v>7</v>
      </c>
      <c r="F826" s="4">
        <v>1176.18</v>
      </c>
      <c r="G826" s="9">
        <f>Table1[[#This Row],[Quantity]]*Table1[[#This Row],[Price]]</f>
        <v>8233.26</v>
      </c>
    </row>
    <row r="827" spans="1:7" ht="21" customHeight="1" x14ac:dyDescent="0.3">
      <c r="A827" s="1" t="s">
        <v>347</v>
      </c>
      <c r="B827" s="1" t="str">
        <f>TEXT(Table1[[#This Row],[Date]], "YYYY-mm")</f>
        <v>2024-08</v>
      </c>
      <c r="C827" s="2" t="s">
        <v>29</v>
      </c>
      <c r="D827" s="2" t="s">
        <v>19</v>
      </c>
      <c r="E827" s="2">
        <v>1</v>
      </c>
      <c r="F827" s="2">
        <v>1948.5</v>
      </c>
      <c r="G827" s="8">
        <f>Table1[[#This Row],[Quantity]]*Table1[[#This Row],[Price]]</f>
        <v>1948.5</v>
      </c>
    </row>
    <row r="828" spans="1:7" ht="21" customHeight="1" x14ac:dyDescent="0.3">
      <c r="A828" s="3" t="s">
        <v>116</v>
      </c>
      <c r="B828" s="3" t="str">
        <f>TEXT(Table1[[#This Row],[Date]], "YYYY-mm")</f>
        <v>2024-10</v>
      </c>
      <c r="C828" s="4" t="s">
        <v>10</v>
      </c>
      <c r="D828" s="4" t="s">
        <v>8</v>
      </c>
      <c r="E828" s="4">
        <v>4</v>
      </c>
      <c r="F828" s="4">
        <v>104.13</v>
      </c>
      <c r="G828" s="9">
        <f>Table1[[#This Row],[Quantity]]*Table1[[#This Row],[Price]]</f>
        <v>416.52</v>
      </c>
    </row>
    <row r="829" spans="1:7" ht="21" customHeight="1" x14ac:dyDescent="0.3">
      <c r="A829" s="1" t="s">
        <v>348</v>
      </c>
      <c r="B829" s="1" t="str">
        <f>TEXT(Table1[[#This Row],[Date]], "YYYY-mm")</f>
        <v>2024-11</v>
      </c>
      <c r="C829" s="2" t="s">
        <v>44</v>
      </c>
      <c r="D829" s="2" t="s">
        <v>8</v>
      </c>
      <c r="E829" s="2">
        <v>15</v>
      </c>
      <c r="F829" s="2">
        <v>14.43</v>
      </c>
      <c r="G829" s="8">
        <f>Table1[[#This Row],[Quantity]]*Table1[[#This Row],[Price]]</f>
        <v>216.45</v>
      </c>
    </row>
    <row r="830" spans="1:7" ht="21" customHeight="1" x14ac:dyDescent="0.3">
      <c r="A830" s="3" t="s">
        <v>347</v>
      </c>
      <c r="B830" s="3" t="str">
        <f>TEXT(Table1[[#This Row],[Date]], "YYYY-mm")</f>
        <v>2024-08</v>
      </c>
      <c r="C830" s="4" t="s">
        <v>39</v>
      </c>
      <c r="D830" s="4" t="s">
        <v>8</v>
      </c>
      <c r="E830" s="4">
        <v>6</v>
      </c>
      <c r="F830" s="4">
        <v>3.91</v>
      </c>
      <c r="G830" s="9">
        <f>Table1[[#This Row],[Quantity]]*Table1[[#This Row],[Price]]</f>
        <v>23.46</v>
      </c>
    </row>
    <row r="831" spans="1:7" ht="21" customHeight="1" x14ac:dyDescent="0.3">
      <c r="A831" s="1" t="s">
        <v>193</v>
      </c>
      <c r="B831" s="1" t="str">
        <f>TEXT(Table1[[#This Row],[Date]], "YYYY-mm")</f>
        <v>2024-09</v>
      </c>
      <c r="C831" s="2" t="s">
        <v>34</v>
      </c>
      <c r="D831" s="2" t="s">
        <v>19</v>
      </c>
      <c r="E831" s="2">
        <v>10</v>
      </c>
      <c r="F831" s="2">
        <v>1100.44</v>
      </c>
      <c r="G831" s="8">
        <f>Table1[[#This Row],[Quantity]]*Table1[[#This Row],[Price]]</f>
        <v>11004.400000000001</v>
      </c>
    </row>
    <row r="832" spans="1:7" ht="21" customHeight="1" x14ac:dyDescent="0.3">
      <c r="A832" s="3" t="s">
        <v>287</v>
      </c>
      <c r="B832" s="3" t="str">
        <f>TEXT(Table1[[#This Row],[Date]], "YYYY-mm")</f>
        <v>2024-07</v>
      </c>
      <c r="C832" s="4" t="s">
        <v>39</v>
      </c>
      <c r="D832" s="4" t="s">
        <v>8</v>
      </c>
      <c r="E832" s="4">
        <v>2</v>
      </c>
      <c r="F832" s="4">
        <v>2.64</v>
      </c>
      <c r="G832" s="9">
        <f>Table1[[#This Row],[Quantity]]*Table1[[#This Row],[Price]]</f>
        <v>5.28</v>
      </c>
    </row>
    <row r="833" spans="1:7" ht="21" customHeight="1" x14ac:dyDescent="0.3">
      <c r="A833" s="1" t="s">
        <v>184</v>
      </c>
      <c r="B833" s="1" t="str">
        <f>TEXT(Table1[[#This Row],[Date]], "YYYY-mm")</f>
        <v>2024-06</v>
      </c>
      <c r="C833" s="2" t="s">
        <v>7</v>
      </c>
      <c r="D833" s="2" t="s">
        <v>8</v>
      </c>
      <c r="E833" s="2">
        <v>12</v>
      </c>
      <c r="F833" s="2">
        <v>63.68</v>
      </c>
      <c r="G833" s="8">
        <f>Table1[[#This Row],[Quantity]]*Table1[[#This Row],[Price]]</f>
        <v>764.16</v>
      </c>
    </row>
    <row r="834" spans="1:7" ht="21" customHeight="1" x14ac:dyDescent="0.3">
      <c r="A834" s="3" t="s">
        <v>117</v>
      </c>
      <c r="B834" s="3" t="str">
        <f>TEXT(Table1[[#This Row],[Date]], "YYYY-mm")</f>
        <v>2024-11</v>
      </c>
      <c r="C834" s="4" t="s">
        <v>34</v>
      </c>
      <c r="D834" s="4" t="s">
        <v>19</v>
      </c>
      <c r="E834" s="4">
        <v>15</v>
      </c>
      <c r="F834" s="4">
        <v>1406.94</v>
      </c>
      <c r="G834" s="9">
        <f>Table1[[#This Row],[Quantity]]*Table1[[#This Row],[Price]]</f>
        <v>21104.100000000002</v>
      </c>
    </row>
    <row r="835" spans="1:7" ht="21" customHeight="1" x14ac:dyDescent="0.3">
      <c r="A835" s="1" t="s">
        <v>337</v>
      </c>
      <c r="B835" s="1" t="str">
        <f>TEXT(Table1[[#This Row],[Date]], "YYYY-mm")</f>
        <v>2024-05</v>
      </c>
      <c r="C835" s="2" t="s">
        <v>7</v>
      </c>
      <c r="D835" s="2" t="s">
        <v>8</v>
      </c>
      <c r="E835" s="2">
        <v>7</v>
      </c>
      <c r="F835" s="2">
        <v>34.22</v>
      </c>
      <c r="G835" s="8">
        <f>Table1[[#This Row],[Quantity]]*Table1[[#This Row],[Price]]</f>
        <v>239.54</v>
      </c>
    </row>
    <row r="836" spans="1:7" ht="21" customHeight="1" x14ac:dyDescent="0.3">
      <c r="A836" s="3" t="s">
        <v>96</v>
      </c>
      <c r="B836" s="3" t="str">
        <f>TEXT(Table1[[#This Row],[Date]], "YYYY-mm")</f>
        <v>2024-07</v>
      </c>
      <c r="C836" s="4" t="s">
        <v>15</v>
      </c>
      <c r="D836" s="4" t="s">
        <v>8</v>
      </c>
      <c r="E836" s="4">
        <v>5</v>
      </c>
      <c r="F836" s="4">
        <v>7.79</v>
      </c>
      <c r="G836" s="9">
        <f>Table1[[#This Row],[Quantity]]*Table1[[#This Row],[Price]]</f>
        <v>38.950000000000003</v>
      </c>
    </row>
    <row r="837" spans="1:7" ht="21" customHeight="1" x14ac:dyDescent="0.3">
      <c r="A837" s="1" t="s">
        <v>203</v>
      </c>
      <c r="B837" s="1" t="str">
        <f>TEXT(Table1[[#This Row],[Date]], "YYYY-mm")</f>
        <v>2024-03</v>
      </c>
      <c r="C837" s="2" t="s">
        <v>39</v>
      </c>
      <c r="D837" s="2" t="s">
        <v>8</v>
      </c>
      <c r="E837" s="2">
        <v>14</v>
      </c>
      <c r="F837" s="2">
        <v>5.78</v>
      </c>
      <c r="G837" s="8">
        <f>Table1[[#This Row],[Quantity]]*Table1[[#This Row],[Price]]</f>
        <v>80.92</v>
      </c>
    </row>
    <row r="838" spans="1:7" ht="21" customHeight="1" x14ac:dyDescent="0.3">
      <c r="A838" s="3" t="s">
        <v>23</v>
      </c>
      <c r="B838" s="3" t="str">
        <f>TEXT(Table1[[#This Row],[Date]], "YYYY-mm")</f>
        <v>2024-05</v>
      </c>
      <c r="C838" s="4" t="s">
        <v>44</v>
      </c>
      <c r="D838" s="4" t="s">
        <v>8</v>
      </c>
      <c r="E838" s="4">
        <v>7</v>
      </c>
      <c r="F838" s="4">
        <v>11.44</v>
      </c>
      <c r="G838" s="9">
        <f>Table1[[#This Row],[Quantity]]*Table1[[#This Row],[Price]]</f>
        <v>80.08</v>
      </c>
    </row>
    <row r="839" spans="1:7" ht="21" customHeight="1" x14ac:dyDescent="0.3">
      <c r="A839" s="1" t="s">
        <v>211</v>
      </c>
      <c r="B839" s="1" t="str">
        <f>TEXT(Table1[[#This Row],[Date]], "YYYY-mm")</f>
        <v>2024-11</v>
      </c>
      <c r="C839" s="2" t="s">
        <v>22</v>
      </c>
      <c r="D839" s="2" t="s">
        <v>13</v>
      </c>
      <c r="E839" s="2">
        <v>13</v>
      </c>
      <c r="F839" s="2">
        <v>1970.84</v>
      </c>
      <c r="G839" s="8">
        <f>Table1[[#This Row],[Quantity]]*Table1[[#This Row],[Price]]</f>
        <v>25620.92</v>
      </c>
    </row>
    <row r="840" spans="1:7" ht="21" customHeight="1" x14ac:dyDescent="0.3">
      <c r="A840" s="3" t="s">
        <v>325</v>
      </c>
      <c r="B840" s="3" t="str">
        <f>TEXT(Table1[[#This Row],[Date]], "YYYY-mm")</f>
        <v>2024-04</v>
      </c>
      <c r="C840" s="4" t="s">
        <v>39</v>
      </c>
      <c r="D840" s="4" t="s">
        <v>8</v>
      </c>
      <c r="E840" s="4">
        <v>2</v>
      </c>
      <c r="F840" s="4">
        <v>4.1399999999999997</v>
      </c>
      <c r="G840" s="9">
        <f>Table1[[#This Row],[Quantity]]*Table1[[#This Row],[Price]]</f>
        <v>8.2799999999999994</v>
      </c>
    </row>
    <row r="841" spans="1:7" ht="21" customHeight="1" x14ac:dyDescent="0.3">
      <c r="A841" s="1" t="s">
        <v>349</v>
      </c>
      <c r="B841" s="1" t="str">
        <f>TEXT(Table1[[#This Row],[Date]], "YYYY-mm")</f>
        <v>2024-01</v>
      </c>
      <c r="C841" s="2" t="s">
        <v>34</v>
      </c>
      <c r="D841" s="2" t="s">
        <v>19</v>
      </c>
      <c r="E841" s="2">
        <v>3</v>
      </c>
      <c r="F841" s="2">
        <v>656.57</v>
      </c>
      <c r="G841" s="8">
        <f>Table1[[#This Row],[Quantity]]*Table1[[#This Row],[Price]]</f>
        <v>1969.71</v>
      </c>
    </row>
    <row r="842" spans="1:7" ht="21" customHeight="1" x14ac:dyDescent="0.3">
      <c r="A842" s="3" t="s">
        <v>146</v>
      </c>
      <c r="B842" s="3" t="str">
        <f>TEXT(Table1[[#This Row],[Date]], "YYYY-mm")</f>
        <v>2024-07</v>
      </c>
      <c r="C842" s="4" t="s">
        <v>12</v>
      </c>
      <c r="D842" s="4" t="s">
        <v>13</v>
      </c>
      <c r="E842" s="4">
        <v>8</v>
      </c>
      <c r="F842" s="4">
        <v>428.39</v>
      </c>
      <c r="G842" s="9">
        <f>Table1[[#This Row],[Quantity]]*Table1[[#This Row],[Price]]</f>
        <v>3427.12</v>
      </c>
    </row>
    <row r="843" spans="1:7" ht="21" customHeight="1" x14ac:dyDescent="0.3">
      <c r="A843" s="1" t="s">
        <v>71</v>
      </c>
      <c r="B843" s="1" t="str">
        <f>TEXT(Table1[[#This Row],[Date]], "YYYY-mm")</f>
        <v>2024-02</v>
      </c>
      <c r="C843" s="2" t="s">
        <v>44</v>
      </c>
      <c r="D843" s="2" t="s">
        <v>8</v>
      </c>
      <c r="E843" s="2">
        <v>2</v>
      </c>
      <c r="F843" s="2">
        <v>6.57</v>
      </c>
      <c r="G843" s="8">
        <f>Table1[[#This Row],[Quantity]]*Table1[[#This Row],[Price]]</f>
        <v>13.14</v>
      </c>
    </row>
    <row r="844" spans="1:7" ht="21" customHeight="1" x14ac:dyDescent="0.3">
      <c r="A844" s="3" t="s">
        <v>188</v>
      </c>
      <c r="B844" s="3" t="str">
        <f>TEXT(Table1[[#This Row],[Date]], "YYYY-mm")</f>
        <v>2024-09</v>
      </c>
      <c r="C844" s="4" t="s">
        <v>25</v>
      </c>
      <c r="D844" s="4" t="s">
        <v>19</v>
      </c>
      <c r="E844" s="4">
        <v>9</v>
      </c>
      <c r="F844" s="4">
        <v>723.77</v>
      </c>
      <c r="G844" s="9">
        <f>Table1[[#This Row],[Quantity]]*Table1[[#This Row],[Price]]</f>
        <v>6513.93</v>
      </c>
    </row>
    <row r="845" spans="1:7" ht="21" customHeight="1" x14ac:dyDescent="0.3">
      <c r="A845" s="1" t="s">
        <v>268</v>
      </c>
      <c r="B845" s="1" t="str">
        <f>TEXT(Table1[[#This Row],[Date]], "YYYY-mm")</f>
        <v>2024-05</v>
      </c>
      <c r="C845" s="2" t="s">
        <v>12</v>
      </c>
      <c r="D845" s="2" t="s">
        <v>13</v>
      </c>
      <c r="E845" s="2">
        <v>2</v>
      </c>
      <c r="F845" s="2">
        <v>241.6</v>
      </c>
      <c r="G845" s="8">
        <f>Table1[[#This Row],[Quantity]]*Table1[[#This Row],[Price]]</f>
        <v>483.2</v>
      </c>
    </row>
    <row r="846" spans="1:7" ht="21" customHeight="1" x14ac:dyDescent="0.3">
      <c r="A846" s="3" t="s">
        <v>205</v>
      </c>
      <c r="B846" s="3" t="str">
        <f>TEXT(Table1[[#This Row],[Date]], "YYYY-mm")</f>
        <v>2024-03</v>
      </c>
      <c r="C846" s="4" t="s">
        <v>27</v>
      </c>
      <c r="D846" s="4" t="s">
        <v>8</v>
      </c>
      <c r="E846" s="4">
        <v>8</v>
      </c>
      <c r="F846" s="4">
        <v>163.07</v>
      </c>
      <c r="G846" s="9">
        <f>Table1[[#This Row],[Quantity]]*Table1[[#This Row],[Price]]</f>
        <v>1304.56</v>
      </c>
    </row>
    <row r="847" spans="1:7" ht="21" customHeight="1" x14ac:dyDescent="0.3">
      <c r="A847" s="1" t="s">
        <v>299</v>
      </c>
      <c r="B847" s="1" t="str">
        <f>TEXT(Table1[[#This Row],[Date]], "YYYY-mm")</f>
        <v>2024-11</v>
      </c>
      <c r="C847" s="2" t="s">
        <v>15</v>
      </c>
      <c r="D847" s="2" t="s">
        <v>8</v>
      </c>
      <c r="E847" s="2">
        <v>12</v>
      </c>
      <c r="F847" s="2">
        <v>8.58</v>
      </c>
      <c r="G847" s="8">
        <f>Table1[[#This Row],[Quantity]]*Table1[[#This Row],[Price]]</f>
        <v>102.96000000000001</v>
      </c>
    </row>
    <row r="848" spans="1:7" ht="21" customHeight="1" x14ac:dyDescent="0.3">
      <c r="A848" s="3" t="s">
        <v>36</v>
      </c>
      <c r="B848" s="3" t="str">
        <f>TEXT(Table1[[#This Row],[Date]], "YYYY-mm")</f>
        <v>2024-08</v>
      </c>
      <c r="C848" s="4" t="s">
        <v>44</v>
      </c>
      <c r="D848" s="4" t="s">
        <v>8</v>
      </c>
      <c r="E848" s="4">
        <v>12</v>
      </c>
      <c r="F848" s="4">
        <v>5.29</v>
      </c>
      <c r="G848" s="9">
        <f>Table1[[#This Row],[Quantity]]*Table1[[#This Row],[Price]]</f>
        <v>63.480000000000004</v>
      </c>
    </row>
    <row r="849" spans="1:7" ht="21" customHeight="1" x14ac:dyDescent="0.3">
      <c r="A849" s="1" t="s">
        <v>11</v>
      </c>
      <c r="B849" s="1" t="str">
        <f>TEXT(Table1[[#This Row],[Date]], "YYYY-mm")</f>
        <v>2024-10</v>
      </c>
      <c r="C849" s="2" t="s">
        <v>34</v>
      </c>
      <c r="D849" s="2" t="s">
        <v>19</v>
      </c>
      <c r="E849" s="2">
        <v>5</v>
      </c>
      <c r="F849" s="2">
        <v>1331.89</v>
      </c>
      <c r="G849" s="8">
        <f>Table1[[#This Row],[Quantity]]*Table1[[#This Row],[Price]]</f>
        <v>6659.4500000000007</v>
      </c>
    </row>
    <row r="850" spans="1:7" ht="21" customHeight="1" x14ac:dyDescent="0.3">
      <c r="A850" s="3" t="s">
        <v>79</v>
      </c>
      <c r="B850" s="3" t="str">
        <f>TEXT(Table1[[#This Row],[Date]], "YYYY-mm")</f>
        <v>2024-06</v>
      </c>
      <c r="C850" s="4" t="s">
        <v>7</v>
      </c>
      <c r="D850" s="4" t="s">
        <v>8</v>
      </c>
      <c r="E850" s="4">
        <v>2</v>
      </c>
      <c r="F850" s="4">
        <v>74.12</v>
      </c>
      <c r="G850" s="9">
        <f>Table1[[#This Row],[Quantity]]*Table1[[#This Row],[Price]]</f>
        <v>148.24</v>
      </c>
    </row>
    <row r="851" spans="1:7" ht="21" customHeight="1" x14ac:dyDescent="0.3">
      <c r="A851" s="1" t="s">
        <v>41</v>
      </c>
      <c r="B851" s="1" t="str">
        <f>TEXT(Table1[[#This Row],[Date]], "YYYY-mm")</f>
        <v>2024-02</v>
      </c>
      <c r="C851" s="2" t="s">
        <v>25</v>
      </c>
      <c r="D851" s="2" t="s">
        <v>19</v>
      </c>
      <c r="E851" s="2">
        <v>9</v>
      </c>
      <c r="F851" s="2">
        <v>480.41</v>
      </c>
      <c r="G851" s="8">
        <f>Table1[[#This Row],[Quantity]]*Table1[[#This Row],[Price]]</f>
        <v>4323.6900000000005</v>
      </c>
    </row>
    <row r="852" spans="1:7" ht="21" customHeight="1" x14ac:dyDescent="0.3">
      <c r="A852" s="3" t="s">
        <v>130</v>
      </c>
      <c r="B852" s="3" t="str">
        <f>TEXT(Table1[[#This Row],[Date]], "YYYY-mm")</f>
        <v>2024-08</v>
      </c>
      <c r="C852" s="4" t="s">
        <v>27</v>
      </c>
      <c r="D852" s="4" t="s">
        <v>8</v>
      </c>
      <c r="E852" s="4">
        <v>12</v>
      </c>
      <c r="F852" s="4">
        <v>80.959999999999994</v>
      </c>
      <c r="G852" s="9">
        <f>Table1[[#This Row],[Quantity]]*Table1[[#This Row],[Price]]</f>
        <v>971.52</v>
      </c>
    </row>
    <row r="853" spans="1:7" ht="21" customHeight="1" x14ac:dyDescent="0.3">
      <c r="A853" s="1" t="s">
        <v>283</v>
      </c>
      <c r="B853" s="1" t="str">
        <f>TEXT(Table1[[#This Row],[Date]], "YYYY-mm")</f>
        <v>2024-03</v>
      </c>
      <c r="C853" s="2" t="s">
        <v>34</v>
      </c>
      <c r="D853" s="2" t="s">
        <v>19</v>
      </c>
      <c r="E853" s="2">
        <v>9</v>
      </c>
      <c r="F853" s="2">
        <v>747.44</v>
      </c>
      <c r="G853" s="8">
        <f>Table1[[#This Row],[Quantity]]*Table1[[#This Row],[Price]]</f>
        <v>6726.9600000000009</v>
      </c>
    </row>
    <row r="854" spans="1:7" ht="21" customHeight="1" x14ac:dyDescent="0.3">
      <c r="A854" s="3" t="s">
        <v>160</v>
      </c>
      <c r="B854" s="3" t="str">
        <f>TEXT(Table1[[#This Row],[Date]], "YYYY-mm")</f>
        <v>2024-02</v>
      </c>
      <c r="C854" s="4" t="s">
        <v>44</v>
      </c>
      <c r="D854" s="4" t="s">
        <v>8</v>
      </c>
      <c r="E854" s="4">
        <v>5</v>
      </c>
      <c r="F854" s="4">
        <v>12.93</v>
      </c>
      <c r="G854" s="9">
        <f>Table1[[#This Row],[Quantity]]*Table1[[#This Row],[Price]]</f>
        <v>64.650000000000006</v>
      </c>
    </row>
    <row r="855" spans="1:7" ht="21" customHeight="1" x14ac:dyDescent="0.3">
      <c r="A855" s="1" t="s">
        <v>350</v>
      </c>
      <c r="B855" s="1" t="str">
        <f>TEXT(Table1[[#This Row],[Date]], "YYYY-mm")</f>
        <v>2024-06</v>
      </c>
      <c r="C855" s="2" t="s">
        <v>27</v>
      </c>
      <c r="D855" s="2" t="s">
        <v>8</v>
      </c>
      <c r="E855" s="2">
        <v>13</v>
      </c>
      <c r="F855" s="2">
        <v>200.81</v>
      </c>
      <c r="G855" s="8">
        <f>Table1[[#This Row],[Quantity]]*Table1[[#This Row],[Price]]</f>
        <v>2610.5300000000002</v>
      </c>
    </row>
    <row r="856" spans="1:7" ht="21" customHeight="1" x14ac:dyDescent="0.3">
      <c r="A856" s="3" t="s">
        <v>187</v>
      </c>
      <c r="B856" s="3" t="str">
        <f>TEXT(Table1[[#This Row],[Date]], "YYYY-mm")</f>
        <v>2024-09</v>
      </c>
      <c r="C856" s="4" t="s">
        <v>15</v>
      </c>
      <c r="D856" s="4" t="s">
        <v>8</v>
      </c>
      <c r="E856" s="4">
        <v>3</v>
      </c>
      <c r="F856" s="4">
        <v>4.24</v>
      </c>
      <c r="G856" s="9">
        <f>Table1[[#This Row],[Quantity]]*Table1[[#This Row],[Price]]</f>
        <v>12.72</v>
      </c>
    </row>
    <row r="857" spans="1:7" ht="21" customHeight="1" x14ac:dyDescent="0.3">
      <c r="A857" s="1" t="s">
        <v>64</v>
      </c>
      <c r="B857" s="1" t="str">
        <f>TEXT(Table1[[#This Row],[Date]], "YYYY-mm")</f>
        <v>2024-06</v>
      </c>
      <c r="C857" s="2" t="s">
        <v>18</v>
      </c>
      <c r="D857" s="2" t="s">
        <v>19</v>
      </c>
      <c r="E857" s="2">
        <v>3</v>
      </c>
      <c r="F857" s="2">
        <v>1267.6199999999999</v>
      </c>
      <c r="G857" s="8">
        <f>Table1[[#This Row],[Quantity]]*Table1[[#This Row],[Price]]</f>
        <v>3802.8599999999997</v>
      </c>
    </row>
    <row r="858" spans="1:7" ht="21" customHeight="1" x14ac:dyDescent="0.3">
      <c r="A858" s="3" t="s">
        <v>258</v>
      </c>
      <c r="B858" s="3" t="str">
        <f>TEXT(Table1[[#This Row],[Date]], "YYYY-mm")</f>
        <v>2024-12</v>
      </c>
      <c r="C858" s="4" t="s">
        <v>7</v>
      </c>
      <c r="D858" s="4" t="s">
        <v>8</v>
      </c>
      <c r="E858" s="4">
        <v>6</v>
      </c>
      <c r="F858" s="4">
        <v>40.83</v>
      </c>
      <c r="G858" s="9">
        <f>Table1[[#This Row],[Quantity]]*Table1[[#This Row],[Price]]</f>
        <v>244.98</v>
      </c>
    </row>
    <row r="859" spans="1:7" ht="21" customHeight="1" x14ac:dyDescent="0.3">
      <c r="A859" s="1" t="s">
        <v>224</v>
      </c>
      <c r="B859" s="1" t="str">
        <f>TEXT(Table1[[#This Row],[Date]], "YYYY-mm")</f>
        <v>2024-09</v>
      </c>
      <c r="C859" s="2" t="s">
        <v>29</v>
      </c>
      <c r="D859" s="2" t="s">
        <v>19</v>
      </c>
      <c r="E859" s="2">
        <v>4</v>
      </c>
      <c r="F859" s="2">
        <v>1412.95</v>
      </c>
      <c r="G859" s="8">
        <f>Table1[[#This Row],[Quantity]]*Table1[[#This Row],[Price]]</f>
        <v>5651.8</v>
      </c>
    </row>
    <row r="860" spans="1:7" ht="21" customHeight="1" x14ac:dyDescent="0.3">
      <c r="A860" s="3" t="s">
        <v>313</v>
      </c>
      <c r="B860" s="3" t="str">
        <f>TEXT(Table1[[#This Row],[Date]], "YYYY-mm")</f>
        <v>2024-04</v>
      </c>
      <c r="C860" s="4" t="s">
        <v>34</v>
      </c>
      <c r="D860" s="4" t="s">
        <v>19</v>
      </c>
      <c r="E860" s="4">
        <v>2</v>
      </c>
      <c r="F860" s="4">
        <v>920.59</v>
      </c>
      <c r="G860" s="9">
        <f>Table1[[#This Row],[Quantity]]*Table1[[#This Row],[Price]]</f>
        <v>1841.18</v>
      </c>
    </row>
    <row r="861" spans="1:7" ht="21" customHeight="1" x14ac:dyDescent="0.3">
      <c r="A861" s="1" t="s">
        <v>351</v>
      </c>
      <c r="B861" s="1" t="str">
        <f>TEXT(Table1[[#This Row],[Date]], "YYYY-mm")</f>
        <v>2024-08</v>
      </c>
      <c r="C861" s="2" t="s">
        <v>34</v>
      </c>
      <c r="D861" s="2" t="s">
        <v>19</v>
      </c>
      <c r="E861" s="2">
        <v>13</v>
      </c>
      <c r="F861" s="2">
        <v>719.85</v>
      </c>
      <c r="G861" s="8">
        <f>Table1[[#This Row],[Quantity]]*Table1[[#This Row],[Price]]</f>
        <v>9358.0500000000011</v>
      </c>
    </row>
    <row r="862" spans="1:7" ht="21" customHeight="1" x14ac:dyDescent="0.3">
      <c r="A862" s="3" t="s">
        <v>70</v>
      </c>
      <c r="B862" s="3" t="str">
        <f>TEXT(Table1[[#This Row],[Date]], "YYYY-mm")</f>
        <v>2024-06</v>
      </c>
      <c r="C862" s="4" t="s">
        <v>39</v>
      </c>
      <c r="D862" s="4" t="s">
        <v>8</v>
      </c>
      <c r="E862" s="4">
        <v>9</v>
      </c>
      <c r="F862" s="4">
        <v>3.01</v>
      </c>
      <c r="G862" s="9">
        <f>Table1[[#This Row],[Quantity]]*Table1[[#This Row],[Price]]</f>
        <v>27.089999999999996</v>
      </c>
    </row>
    <row r="863" spans="1:7" ht="21" customHeight="1" x14ac:dyDescent="0.3">
      <c r="A863" s="1" t="s">
        <v>196</v>
      </c>
      <c r="B863" s="1" t="str">
        <f>TEXT(Table1[[#This Row],[Date]], "YYYY-mm")</f>
        <v>2024-10</v>
      </c>
      <c r="C863" s="2" t="s">
        <v>12</v>
      </c>
      <c r="D863" s="2" t="s">
        <v>13</v>
      </c>
      <c r="E863" s="2">
        <v>7</v>
      </c>
      <c r="F863" s="2">
        <v>409.18</v>
      </c>
      <c r="G863" s="8">
        <f>Table1[[#This Row],[Quantity]]*Table1[[#This Row],[Price]]</f>
        <v>2864.26</v>
      </c>
    </row>
    <row r="864" spans="1:7" ht="21" customHeight="1" x14ac:dyDescent="0.3">
      <c r="A864" s="3" t="s">
        <v>192</v>
      </c>
      <c r="B864" s="3" t="str">
        <f>TEXT(Table1[[#This Row],[Date]], "YYYY-mm")</f>
        <v>2024-02</v>
      </c>
      <c r="C864" s="4" t="s">
        <v>18</v>
      </c>
      <c r="D864" s="4" t="s">
        <v>19</v>
      </c>
      <c r="E864" s="4">
        <v>1</v>
      </c>
      <c r="F864" s="4">
        <v>320.74</v>
      </c>
      <c r="G864" s="9">
        <f>Table1[[#This Row],[Quantity]]*Table1[[#This Row],[Price]]</f>
        <v>320.74</v>
      </c>
    </row>
    <row r="865" spans="1:7" ht="21" customHeight="1" x14ac:dyDescent="0.3">
      <c r="A865" s="1" t="s">
        <v>51</v>
      </c>
      <c r="B865" s="1" t="str">
        <f>TEXT(Table1[[#This Row],[Date]], "YYYY-mm")</f>
        <v>2024-12</v>
      </c>
      <c r="C865" s="2" t="s">
        <v>44</v>
      </c>
      <c r="D865" s="2" t="s">
        <v>8</v>
      </c>
      <c r="E865" s="2">
        <v>5</v>
      </c>
      <c r="F865" s="2">
        <v>16.11</v>
      </c>
      <c r="G865" s="8">
        <f>Table1[[#This Row],[Quantity]]*Table1[[#This Row],[Price]]</f>
        <v>80.55</v>
      </c>
    </row>
    <row r="866" spans="1:7" ht="21" customHeight="1" x14ac:dyDescent="0.3">
      <c r="A866" s="3" t="s">
        <v>220</v>
      </c>
      <c r="B866" s="3" t="str">
        <f>TEXT(Table1[[#This Row],[Date]], "YYYY-mm")</f>
        <v>2024-10</v>
      </c>
      <c r="C866" s="4" t="s">
        <v>25</v>
      </c>
      <c r="D866" s="4" t="s">
        <v>19</v>
      </c>
      <c r="E866" s="4">
        <v>10</v>
      </c>
      <c r="F866" s="4">
        <v>823.92</v>
      </c>
      <c r="G866" s="9">
        <f>Table1[[#This Row],[Quantity]]*Table1[[#This Row],[Price]]</f>
        <v>8239.1999999999989</v>
      </c>
    </row>
    <row r="867" spans="1:7" ht="21" customHeight="1" x14ac:dyDescent="0.3">
      <c r="A867" s="1" t="s">
        <v>351</v>
      </c>
      <c r="B867" s="1" t="str">
        <f>TEXT(Table1[[#This Row],[Date]], "YYYY-mm")</f>
        <v>2024-08</v>
      </c>
      <c r="C867" s="2" t="s">
        <v>44</v>
      </c>
      <c r="D867" s="2" t="s">
        <v>8</v>
      </c>
      <c r="E867" s="2">
        <v>2</v>
      </c>
      <c r="F867" s="2">
        <v>18.89</v>
      </c>
      <c r="G867" s="8">
        <f>Table1[[#This Row],[Quantity]]*Table1[[#This Row],[Price]]</f>
        <v>37.78</v>
      </c>
    </row>
    <row r="868" spans="1:7" ht="21" customHeight="1" x14ac:dyDescent="0.3">
      <c r="A868" s="3" t="s">
        <v>250</v>
      </c>
      <c r="B868" s="3" t="str">
        <f>TEXT(Table1[[#This Row],[Date]], "YYYY-mm")</f>
        <v>2024-10</v>
      </c>
      <c r="C868" s="4" t="s">
        <v>39</v>
      </c>
      <c r="D868" s="4" t="s">
        <v>8</v>
      </c>
      <c r="E868" s="4">
        <v>9</v>
      </c>
      <c r="F868" s="4">
        <v>5.76</v>
      </c>
      <c r="G868" s="9">
        <f>Table1[[#This Row],[Quantity]]*Table1[[#This Row],[Price]]</f>
        <v>51.839999999999996</v>
      </c>
    </row>
    <row r="869" spans="1:7" ht="21" customHeight="1" x14ac:dyDescent="0.3">
      <c r="A869" s="1" t="s">
        <v>127</v>
      </c>
      <c r="B869" s="1" t="str">
        <f>TEXT(Table1[[#This Row],[Date]], "YYYY-mm")</f>
        <v>2024-03</v>
      </c>
      <c r="C869" s="2" t="s">
        <v>15</v>
      </c>
      <c r="D869" s="2" t="s">
        <v>8</v>
      </c>
      <c r="E869" s="2">
        <v>7</v>
      </c>
      <c r="F869" s="2">
        <v>8.56</v>
      </c>
      <c r="G869" s="8">
        <f>Table1[[#This Row],[Quantity]]*Table1[[#This Row],[Price]]</f>
        <v>59.92</v>
      </c>
    </row>
    <row r="870" spans="1:7" ht="21" customHeight="1" x14ac:dyDescent="0.3">
      <c r="A870" s="3" t="s">
        <v>352</v>
      </c>
      <c r="B870" s="3" t="str">
        <f>TEXT(Table1[[#This Row],[Date]], "YYYY-mm")</f>
        <v>2024-11</v>
      </c>
      <c r="C870" s="4" t="s">
        <v>29</v>
      </c>
      <c r="D870" s="4" t="s">
        <v>19</v>
      </c>
      <c r="E870" s="4">
        <v>12</v>
      </c>
      <c r="F870" s="4">
        <v>1055.21</v>
      </c>
      <c r="G870" s="9">
        <f>Table1[[#This Row],[Quantity]]*Table1[[#This Row],[Price]]</f>
        <v>12662.52</v>
      </c>
    </row>
    <row r="871" spans="1:7" ht="21" customHeight="1" x14ac:dyDescent="0.3">
      <c r="A871" s="1" t="s">
        <v>286</v>
      </c>
      <c r="B871" s="1" t="str">
        <f>TEXT(Table1[[#This Row],[Date]], "YYYY-mm")</f>
        <v>2024-03</v>
      </c>
      <c r="C871" s="2" t="s">
        <v>18</v>
      </c>
      <c r="D871" s="2" t="s">
        <v>19</v>
      </c>
      <c r="E871" s="2">
        <v>3</v>
      </c>
      <c r="F871" s="2">
        <v>763.17</v>
      </c>
      <c r="G871" s="8">
        <f>Table1[[#This Row],[Quantity]]*Table1[[#This Row],[Price]]</f>
        <v>2289.5099999999998</v>
      </c>
    </row>
    <row r="872" spans="1:7" ht="21" customHeight="1" x14ac:dyDescent="0.3">
      <c r="A872" s="3" t="s">
        <v>209</v>
      </c>
      <c r="B872" s="3" t="str">
        <f>TEXT(Table1[[#This Row],[Date]], "YYYY-mm")</f>
        <v>2024-04</v>
      </c>
      <c r="C872" s="4" t="s">
        <v>34</v>
      </c>
      <c r="D872" s="4" t="s">
        <v>19</v>
      </c>
      <c r="E872" s="4">
        <v>15</v>
      </c>
      <c r="F872" s="4">
        <v>1050.3399999999999</v>
      </c>
      <c r="G872" s="9">
        <f>Table1[[#This Row],[Quantity]]*Table1[[#This Row],[Price]]</f>
        <v>15755.099999999999</v>
      </c>
    </row>
    <row r="873" spans="1:7" ht="21" customHeight="1" x14ac:dyDescent="0.3">
      <c r="A873" s="1" t="s">
        <v>271</v>
      </c>
      <c r="B873" s="1" t="str">
        <f>TEXT(Table1[[#This Row],[Date]], "YYYY-mm")</f>
        <v>2024-04</v>
      </c>
      <c r="C873" s="2" t="s">
        <v>22</v>
      </c>
      <c r="D873" s="2" t="s">
        <v>13</v>
      </c>
      <c r="E873" s="2">
        <v>11</v>
      </c>
      <c r="F873" s="2">
        <v>1552.76</v>
      </c>
      <c r="G873" s="8">
        <f>Table1[[#This Row],[Quantity]]*Table1[[#This Row],[Price]]</f>
        <v>17080.36</v>
      </c>
    </row>
    <row r="874" spans="1:7" ht="21" customHeight="1" x14ac:dyDescent="0.3">
      <c r="A874" s="3" t="s">
        <v>309</v>
      </c>
      <c r="B874" s="3" t="str">
        <f>TEXT(Table1[[#This Row],[Date]], "YYYY-mm")</f>
        <v>2024-01</v>
      </c>
      <c r="C874" s="4" t="s">
        <v>34</v>
      </c>
      <c r="D874" s="4" t="s">
        <v>19</v>
      </c>
      <c r="E874" s="4">
        <v>4</v>
      </c>
      <c r="F874" s="4">
        <v>928.17</v>
      </c>
      <c r="G874" s="9">
        <f>Table1[[#This Row],[Quantity]]*Table1[[#This Row],[Price]]</f>
        <v>3712.68</v>
      </c>
    </row>
    <row r="875" spans="1:7" ht="21" customHeight="1" x14ac:dyDescent="0.3">
      <c r="A875" s="1" t="s">
        <v>137</v>
      </c>
      <c r="B875" s="1" t="str">
        <f>TEXT(Table1[[#This Row],[Date]], "YYYY-mm")</f>
        <v>2024-12</v>
      </c>
      <c r="C875" s="2" t="s">
        <v>27</v>
      </c>
      <c r="D875" s="2" t="s">
        <v>8</v>
      </c>
      <c r="E875" s="2">
        <v>15</v>
      </c>
      <c r="F875" s="2">
        <v>163.92</v>
      </c>
      <c r="G875" s="8">
        <f>Table1[[#This Row],[Quantity]]*Table1[[#This Row],[Price]]</f>
        <v>2458.7999999999997</v>
      </c>
    </row>
    <row r="876" spans="1:7" ht="21" customHeight="1" x14ac:dyDescent="0.3">
      <c r="A876" s="3" t="s">
        <v>54</v>
      </c>
      <c r="B876" s="3" t="str">
        <f>TEXT(Table1[[#This Row],[Date]], "YYYY-mm")</f>
        <v>2024-06</v>
      </c>
      <c r="C876" s="4" t="s">
        <v>12</v>
      </c>
      <c r="D876" s="4" t="s">
        <v>13</v>
      </c>
      <c r="E876" s="4">
        <v>8</v>
      </c>
      <c r="F876" s="4">
        <v>256.68</v>
      </c>
      <c r="G876" s="9">
        <f>Table1[[#This Row],[Quantity]]*Table1[[#This Row],[Price]]</f>
        <v>2053.44</v>
      </c>
    </row>
    <row r="877" spans="1:7" ht="21" customHeight="1" x14ac:dyDescent="0.3">
      <c r="A877" s="1" t="s">
        <v>160</v>
      </c>
      <c r="B877" s="1" t="str">
        <f>TEXT(Table1[[#This Row],[Date]], "YYYY-mm")</f>
        <v>2024-02</v>
      </c>
      <c r="C877" s="2" t="s">
        <v>12</v>
      </c>
      <c r="D877" s="2" t="s">
        <v>13</v>
      </c>
      <c r="E877" s="2">
        <v>5</v>
      </c>
      <c r="F877" s="2">
        <v>343.43</v>
      </c>
      <c r="G877" s="8">
        <f>Table1[[#This Row],[Quantity]]*Table1[[#This Row],[Price]]</f>
        <v>1717.15</v>
      </c>
    </row>
    <row r="878" spans="1:7" ht="21" customHeight="1" x14ac:dyDescent="0.3">
      <c r="A878" s="3" t="s">
        <v>346</v>
      </c>
      <c r="B878" s="3" t="str">
        <f>TEXT(Table1[[#This Row],[Date]], "YYYY-mm")</f>
        <v>2024-08</v>
      </c>
      <c r="C878" s="4" t="s">
        <v>29</v>
      </c>
      <c r="D878" s="4" t="s">
        <v>19</v>
      </c>
      <c r="E878" s="4">
        <v>5</v>
      </c>
      <c r="F878" s="4">
        <v>2055.71</v>
      </c>
      <c r="G878" s="9">
        <f>Table1[[#This Row],[Quantity]]*Table1[[#This Row],[Price]]</f>
        <v>10278.549999999999</v>
      </c>
    </row>
    <row r="879" spans="1:7" ht="21" customHeight="1" x14ac:dyDescent="0.3">
      <c r="A879" s="1" t="s">
        <v>353</v>
      </c>
      <c r="B879" s="1" t="str">
        <f>TEXT(Table1[[#This Row],[Date]], "YYYY-mm")</f>
        <v>2024-02</v>
      </c>
      <c r="C879" s="2" t="s">
        <v>7</v>
      </c>
      <c r="D879" s="2" t="s">
        <v>8</v>
      </c>
      <c r="E879" s="2">
        <v>15</v>
      </c>
      <c r="F879" s="2">
        <v>26.04</v>
      </c>
      <c r="G879" s="8">
        <f>Table1[[#This Row],[Quantity]]*Table1[[#This Row],[Price]]</f>
        <v>390.59999999999997</v>
      </c>
    </row>
    <row r="880" spans="1:7" ht="21" customHeight="1" x14ac:dyDescent="0.3">
      <c r="A880" s="3" t="s">
        <v>239</v>
      </c>
      <c r="B880" s="3" t="str">
        <f>TEXT(Table1[[#This Row],[Date]], "YYYY-mm")</f>
        <v>2024-12</v>
      </c>
      <c r="C880" s="4" t="s">
        <v>10</v>
      </c>
      <c r="D880" s="4" t="s">
        <v>8</v>
      </c>
      <c r="E880" s="4">
        <v>8</v>
      </c>
      <c r="F880" s="4">
        <v>72.8</v>
      </c>
      <c r="G880" s="9">
        <f>Table1[[#This Row],[Quantity]]*Table1[[#This Row],[Price]]</f>
        <v>582.4</v>
      </c>
    </row>
    <row r="881" spans="1:7" ht="21" customHeight="1" x14ac:dyDescent="0.3">
      <c r="A881" s="1" t="s">
        <v>301</v>
      </c>
      <c r="B881" s="1" t="str">
        <f>TEXT(Table1[[#This Row],[Date]], "YYYY-mm")</f>
        <v>2024-07</v>
      </c>
      <c r="C881" s="2" t="s">
        <v>7</v>
      </c>
      <c r="D881" s="2" t="s">
        <v>8</v>
      </c>
      <c r="E881" s="2">
        <v>2</v>
      </c>
      <c r="F881" s="2">
        <v>22.33</v>
      </c>
      <c r="G881" s="8">
        <f>Table1[[#This Row],[Quantity]]*Table1[[#This Row],[Price]]</f>
        <v>44.66</v>
      </c>
    </row>
    <row r="882" spans="1:7" ht="21" customHeight="1" x14ac:dyDescent="0.3">
      <c r="A882" s="3" t="s">
        <v>237</v>
      </c>
      <c r="B882" s="3" t="str">
        <f>TEXT(Table1[[#This Row],[Date]], "YYYY-mm")</f>
        <v>2024-01</v>
      </c>
      <c r="C882" s="4" t="s">
        <v>27</v>
      </c>
      <c r="D882" s="4" t="s">
        <v>8</v>
      </c>
      <c r="E882" s="4">
        <v>15</v>
      </c>
      <c r="F882" s="4">
        <v>188.96</v>
      </c>
      <c r="G882" s="9">
        <f>Table1[[#This Row],[Quantity]]*Table1[[#This Row],[Price]]</f>
        <v>2834.4</v>
      </c>
    </row>
    <row r="883" spans="1:7" ht="21" customHeight="1" x14ac:dyDescent="0.3">
      <c r="A883" s="1" t="s">
        <v>317</v>
      </c>
      <c r="B883" s="1" t="str">
        <f>TEXT(Table1[[#This Row],[Date]], "YYYY-mm")</f>
        <v>2024-04</v>
      </c>
      <c r="C883" s="2" t="s">
        <v>29</v>
      </c>
      <c r="D883" s="2" t="s">
        <v>19</v>
      </c>
      <c r="E883" s="2">
        <v>11</v>
      </c>
      <c r="F883" s="2">
        <v>1077.3599999999999</v>
      </c>
      <c r="G883" s="8">
        <f>Table1[[#This Row],[Quantity]]*Table1[[#This Row],[Price]]</f>
        <v>11850.96</v>
      </c>
    </row>
    <row r="884" spans="1:7" ht="21" customHeight="1" x14ac:dyDescent="0.3">
      <c r="A884" s="3" t="s">
        <v>261</v>
      </c>
      <c r="B884" s="3" t="str">
        <f>TEXT(Table1[[#This Row],[Date]], "YYYY-mm")</f>
        <v>2024-03</v>
      </c>
      <c r="C884" s="4" t="s">
        <v>34</v>
      </c>
      <c r="D884" s="4" t="s">
        <v>19</v>
      </c>
      <c r="E884" s="4">
        <v>9</v>
      </c>
      <c r="F884" s="4">
        <v>799.31</v>
      </c>
      <c r="G884" s="9">
        <f>Table1[[#This Row],[Quantity]]*Table1[[#This Row],[Price]]</f>
        <v>7193.7899999999991</v>
      </c>
    </row>
    <row r="885" spans="1:7" ht="21" customHeight="1" x14ac:dyDescent="0.3">
      <c r="A885" s="1" t="s">
        <v>17</v>
      </c>
      <c r="B885" s="1" t="str">
        <f>TEXT(Table1[[#This Row],[Date]], "YYYY-mm")</f>
        <v>2024-10</v>
      </c>
      <c r="C885" s="2" t="s">
        <v>18</v>
      </c>
      <c r="D885" s="2" t="s">
        <v>19</v>
      </c>
      <c r="E885" s="2">
        <v>1</v>
      </c>
      <c r="F885" s="2">
        <v>825.86</v>
      </c>
      <c r="G885" s="8">
        <f>Table1[[#This Row],[Quantity]]*Table1[[#This Row],[Price]]</f>
        <v>825.86</v>
      </c>
    </row>
    <row r="886" spans="1:7" ht="21" customHeight="1" x14ac:dyDescent="0.3">
      <c r="A886" s="3" t="s">
        <v>163</v>
      </c>
      <c r="B886" s="3" t="str">
        <f>TEXT(Table1[[#This Row],[Date]], "YYYY-mm")</f>
        <v>2024-05</v>
      </c>
      <c r="C886" s="4" t="s">
        <v>12</v>
      </c>
      <c r="D886" s="4" t="s">
        <v>13</v>
      </c>
      <c r="E886" s="4">
        <v>15</v>
      </c>
      <c r="F886" s="4">
        <v>185.61</v>
      </c>
      <c r="G886" s="9">
        <f>Table1[[#This Row],[Quantity]]*Table1[[#This Row],[Price]]</f>
        <v>2784.15</v>
      </c>
    </row>
    <row r="887" spans="1:7" ht="21" customHeight="1" x14ac:dyDescent="0.3">
      <c r="A887" s="1" t="s">
        <v>266</v>
      </c>
      <c r="B887" s="1" t="str">
        <f>TEXT(Table1[[#This Row],[Date]], "YYYY-mm")</f>
        <v>2024-03</v>
      </c>
      <c r="C887" s="2" t="s">
        <v>34</v>
      </c>
      <c r="D887" s="2" t="s">
        <v>19</v>
      </c>
      <c r="E887" s="2">
        <v>11</v>
      </c>
      <c r="F887" s="2">
        <v>789.39</v>
      </c>
      <c r="G887" s="8">
        <f>Table1[[#This Row],[Quantity]]*Table1[[#This Row],[Price]]</f>
        <v>8683.2899999999991</v>
      </c>
    </row>
    <row r="888" spans="1:7" ht="21" customHeight="1" x14ac:dyDescent="0.3">
      <c r="A888" s="3" t="s">
        <v>65</v>
      </c>
      <c r="B888" s="3" t="str">
        <f>TEXT(Table1[[#This Row],[Date]], "YYYY-mm")</f>
        <v>2024-04</v>
      </c>
      <c r="C888" s="4" t="s">
        <v>15</v>
      </c>
      <c r="D888" s="4" t="s">
        <v>8</v>
      </c>
      <c r="E888" s="4">
        <v>10</v>
      </c>
      <c r="F888" s="4">
        <v>7.74</v>
      </c>
      <c r="G888" s="9">
        <f>Table1[[#This Row],[Quantity]]*Table1[[#This Row],[Price]]</f>
        <v>77.400000000000006</v>
      </c>
    </row>
    <row r="889" spans="1:7" ht="21" customHeight="1" x14ac:dyDescent="0.3">
      <c r="A889" s="1" t="s">
        <v>96</v>
      </c>
      <c r="B889" s="1" t="str">
        <f>TEXT(Table1[[#This Row],[Date]], "YYYY-mm")</f>
        <v>2024-07</v>
      </c>
      <c r="C889" s="2" t="s">
        <v>7</v>
      </c>
      <c r="D889" s="2" t="s">
        <v>8</v>
      </c>
      <c r="E889" s="2">
        <v>5</v>
      </c>
      <c r="F889" s="2">
        <v>77.17</v>
      </c>
      <c r="G889" s="8">
        <f>Table1[[#This Row],[Quantity]]*Table1[[#This Row],[Price]]</f>
        <v>385.85</v>
      </c>
    </row>
    <row r="890" spans="1:7" ht="21" customHeight="1" x14ac:dyDescent="0.3">
      <c r="A890" s="3" t="s">
        <v>206</v>
      </c>
      <c r="B890" s="3" t="str">
        <f>TEXT(Table1[[#This Row],[Date]], "YYYY-mm")</f>
        <v>2024-06</v>
      </c>
      <c r="C890" s="4" t="s">
        <v>18</v>
      </c>
      <c r="D890" s="4" t="s">
        <v>19</v>
      </c>
      <c r="E890" s="4">
        <v>3</v>
      </c>
      <c r="F890" s="4">
        <v>358.73</v>
      </c>
      <c r="G890" s="9">
        <f>Table1[[#This Row],[Quantity]]*Table1[[#This Row],[Price]]</f>
        <v>1076.19</v>
      </c>
    </row>
    <row r="891" spans="1:7" ht="21" customHeight="1" x14ac:dyDescent="0.3">
      <c r="A891" s="1" t="s">
        <v>259</v>
      </c>
      <c r="B891" s="1" t="str">
        <f>TEXT(Table1[[#This Row],[Date]], "YYYY-mm")</f>
        <v>2024-01</v>
      </c>
      <c r="C891" s="2" t="s">
        <v>12</v>
      </c>
      <c r="D891" s="2" t="s">
        <v>13</v>
      </c>
      <c r="E891" s="2">
        <v>15</v>
      </c>
      <c r="F891" s="2">
        <v>542.63</v>
      </c>
      <c r="G891" s="8">
        <f>Table1[[#This Row],[Quantity]]*Table1[[#This Row],[Price]]</f>
        <v>8139.45</v>
      </c>
    </row>
    <row r="892" spans="1:7" ht="21" customHeight="1" x14ac:dyDescent="0.3">
      <c r="A892" s="3" t="s">
        <v>54</v>
      </c>
      <c r="B892" s="3" t="str">
        <f>TEXT(Table1[[#This Row],[Date]], "YYYY-mm")</f>
        <v>2024-06</v>
      </c>
      <c r="C892" s="4" t="s">
        <v>10</v>
      </c>
      <c r="D892" s="4" t="s">
        <v>8</v>
      </c>
      <c r="E892" s="4">
        <v>9</v>
      </c>
      <c r="F892" s="4">
        <v>81.81</v>
      </c>
      <c r="G892" s="9">
        <f>Table1[[#This Row],[Quantity]]*Table1[[#This Row],[Price]]</f>
        <v>736.29</v>
      </c>
    </row>
    <row r="893" spans="1:7" ht="21" customHeight="1" x14ac:dyDescent="0.3">
      <c r="A893" s="1" t="s">
        <v>50</v>
      </c>
      <c r="B893" s="1" t="str">
        <f>TEXT(Table1[[#This Row],[Date]], "YYYY-mm")</f>
        <v>2024-08</v>
      </c>
      <c r="C893" s="2" t="s">
        <v>22</v>
      </c>
      <c r="D893" s="2" t="s">
        <v>13</v>
      </c>
      <c r="E893" s="2">
        <v>10</v>
      </c>
      <c r="F893" s="2">
        <v>1893.84</v>
      </c>
      <c r="G893" s="8">
        <f>Table1[[#This Row],[Quantity]]*Table1[[#This Row],[Price]]</f>
        <v>18938.399999999998</v>
      </c>
    </row>
    <row r="894" spans="1:7" ht="21" customHeight="1" x14ac:dyDescent="0.3">
      <c r="A894" s="3" t="s">
        <v>164</v>
      </c>
      <c r="B894" s="3" t="str">
        <f>TEXT(Table1[[#This Row],[Date]], "YYYY-mm")</f>
        <v>2024-06</v>
      </c>
      <c r="C894" s="4" t="s">
        <v>15</v>
      </c>
      <c r="D894" s="4" t="s">
        <v>8</v>
      </c>
      <c r="E894" s="4">
        <v>4</v>
      </c>
      <c r="F894" s="4">
        <v>9.99</v>
      </c>
      <c r="G894" s="9">
        <f>Table1[[#This Row],[Quantity]]*Table1[[#This Row],[Price]]</f>
        <v>39.96</v>
      </c>
    </row>
    <row r="895" spans="1:7" ht="21" customHeight="1" x14ac:dyDescent="0.3">
      <c r="A895" s="1" t="s">
        <v>354</v>
      </c>
      <c r="B895" s="1" t="str">
        <f>TEXT(Table1[[#This Row],[Date]], "YYYY-mm")</f>
        <v>2024-04</v>
      </c>
      <c r="C895" s="2" t="s">
        <v>10</v>
      </c>
      <c r="D895" s="2" t="s">
        <v>8</v>
      </c>
      <c r="E895" s="2">
        <v>2</v>
      </c>
      <c r="F895" s="2">
        <v>69.53</v>
      </c>
      <c r="G895" s="8">
        <f>Table1[[#This Row],[Quantity]]*Table1[[#This Row],[Price]]</f>
        <v>139.06</v>
      </c>
    </row>
    <row r="896" spans="1:7" ht="21" customHeight="1" x14ac:dyDescent="0.3">
      <c r="A896" s="3" t="s">
        <v>84</v>
      </c>
      <c r="B896" s="3" t="str">
        <f>TEXT(Table1[[#This Row],[Date]], "YYYY-mm")</f>
        <v>2024-12</v>
      </c>
      <c r="C896" s="4" t="s">
        <v>25</v>
      </c>
      <c r="D896" s="4" t="s">
        <v>19</v>
      </c>
      <c r="E896" s="4">
        <v>9</v>
      </c>
      <c r="F896" s="4">
        <v>448.32</v>
      </c>
      <c r="G896" s="9">
        <f>Table1[[#This Row],[Quantity]]*Table1[[#This Row],[Price]]</f>
        <v>4034.88</v>
      </c>
    </row>
    <row r="897" spans="1:7" ht="21" customHeight="1" x14ac:dyDescent="0.3">
      <c r="A897" s="1" t="s">
        <v>201</v>
      </c>
      <c r="B897" s="1" t="str">
        <f>TEXT(Table1[[#This Row],[Date]], "YYYY-mm")</f>
        <v>2024-10</v>
      </c>
      <c r="C897" s="2" t="s">
        <v>39</v>
      </c>
      <c r="D897" s="2" t="s">
        <v>8</v>
      </c>
      <c r="E897" s="2">
        <v>11</v>
      </c>
      <c r="F897" s="2">
        <v>4.18</v>
      </c>
      <c r="G897" s="8">
        <f>Table1[[#This Row],[Quantity]]*Table1[[#This Row],[Price]]</f>
        <v>45.98</v>
      </c>
    </row>
    <row r="898" spans="1:7" ht="21" customHeight="1" x14ac:dyDescent="0.3">
      <c r="A898" s="3" t="s">
        <v>292</v>
      </c>
      <c r="B898" s="3" t="str">
        <f>TEXT(Table1[[#This Row],[Date]], "YYYY-mm")</f>
        <v>2024-06</v>
      </c>
      <c r="C898" s="4" t="s">
        <v>44</v>
      </c>
      <c r="D898" s="4" t="s">
        <v>8</v>
      </c>
      <c r="E898" s="4">
        <v>12</v>
      </c>
      <c r="F898" s="4">
        <v>11.7</v>
      </c>
      <c r="G898" s="9">
        <f>Table1[[#This Row],[Quantity]]*Table1[[#This Row],[Price]]</f>
        <v>140.39999999999998</v>
      </c>
    </row>
    <row r="899" spans="1:7" ht="21" customHeight="1" x14ac:dyDescent="0.3">
      <c r="A899" s="1" t="s">
        <v>50</v>
      </c>
      <c r="B899" s="1" t="str">
        <f>TEXT(Table1[[#This Row],[Date]], "YYYY-mm")</f>
        <v>2024-08</v>
      </c>
      <c r="C899" s="2" t="s">
        <v>29</v>
      </c>
      <c r="D899" s="2" t="s">
        <v>19</v>
      </c>
      <c r="E899" s="2">
        <v>3</v>
      </c>
      <c r="F899" s="2">
        <v>1948.17</v>
      </c>
      <c r="G899" s="8">
        <f>Table1[[#This Row],[Quantity]]*Table1[[#This Row],[Price]]</f>
        <v>5844.51</v>
      </c>
    </row>
    <row r="900" spans="1:7" ht="21" customHeight="1" x14ac:dyDescent="0.3">
      <c r="A900" s="3" t="s">
        <v>355</v>
      </c>
      <c r="B900" s="3" t="str">
        <f>TEXT(Table1[[#This Row],[Date]], "YYYY-mm")</f>
        <v>2024-06</v>
      </c>
      <c r="C900" s="4" t="s">
        <v>15</v>
      </c>
      <c r="D900" s="4" t="s">
        <v>8</v>
      </c>
      <c r="E900" s="4">
        <v>12</v>
      </c>
      <c r="F900" s="4">
        <v>8.6199999999999992</v>
      </c>
      <c r="G900" s="9">
        <f>Table1[[#This Row],[Quantity]]*Table1[[#This Row],[Price]]</f>
        <v>103.44</v>
      </c>
    </row>
    <row r="901" spans="1:7" ht="21" customHeight="1" x14ac:dyDescent="0.3">
      <c r="A901" s="1" t="s">
        <v>287</v>
      </c>
      <c r="B901" s="1" t="str">
        <f>TEXT(Table1[[#This Row],[Date]], "YYYY-mm")</f>
        <v>2024-07</v>
      </c>
      <c r="C901" s="2" t="s">
        <v>12</v>
      </c>
      <c r="D901" s="2" t="s">
        <v>13</v>
      </c>
      <c r="E901" s="2">
        <v>9</v>
      </c>
      <c r="F901" s="2">
        <v>182.1</v>
      </c>
      <c r="G901" s="8">
        <f>Table1[[#This Row],[Quantity]]*Table1[[#This Row],[Price]]</f>
        <v>1638.8999999999999</v>
      </c>
    </row>
    <row r="902" spans="1:7" ht="21" customHeight="1" x14ac:dyDescent="0.3">
      <c r="A902" s="3" t="s">
        <v>78</v>
      </c>
      <c r="B902" s="3" t="str">
        <f>TEXT(Table1[[#This Row],[Date]], "YYYY-mm")</f>
        <v>2024-04</v>
      </c>
      <c r="C902" s="4" t="s">
        <v>10</v>
      </c>
      <c r="D902" s="4" t="s">
        <v>8</v>
      </c>
      <c r="E902" s="4">
        <v>12</v>
      </c>
      <c r="F902" s="4">
        <v>49.9</v>
      </c>
      <c r="G902" s="9">
        <f>Table1[[#This Row],[Quantity]]*Table1[[#This Row],[Price]]</f>
        <v>598.79999999999995</v>
      </c>
    </row>
    <row r="903" spans="1:7" ht="21" customHeight="1" x14ac:dyDescent="0.3">
      <c r="A903" s="1" t="s">
        <v>132</v>
      </c>
      <c r="B903" s="1" t="str">
        <f>TEXT(Table1[[#This Row],[Date]], "YYYY-mm")</f>
        <v>2024-11</v>
      </c>
      <c r="C903" s="2" t="s">
        <v>18</v>
      </c>
      <c r="D903" s="2" t="s">
        <v>19</v>
      </c>
      <c r="E903" s="2">
        <v>6</v>
      </c>
      <c r="F903" s="2">
        <v>445.27</v>
      </c>
      <c r="G903" s="8">
        <f>Table1[[#This Row],[Quantity]]*Table1[[#This Row],[Price]]</f>
        <v>2671.62</v>
      </c>
    </row>
    <row r="904" spans="1:7" ht="21" customHeight="1" x14ac:dyDescent="0.3">
      <c r="A904" s="3" t="s">
        <v>139</v>
      </c>
      <c r="B904" s="3" t="str">
        <f>TEXT(Table1[[#This Row],[Date]], "YYYY-mm")</f>
        <v>2024-01</v>
      </c>
      <c r="C904" s="4" t="s">
        <v>39</v>
      </c>
      <c r="D904" s="4" t="s">
        <v>8</v>
      </c>
      <c r="E904" s="4">
        <v>2</v>
      </c>
      <c r="F904" s="4">
        <v>2.78</v>
      </c>
      <c r="G904" s="9">
        <f>Table1[[#This Row],[Quantity]]*Table1[[#This Row],[Price]]</f>
        <v>5.56</v>
      </c>
    </row>
    <row r="905" spans="1:7" ht="21" customHeight="1" x14ac:dyDescent="0.3">
      <c r="A905" s="1" t="s">
        <v>315</v>
      </c>
      <c r="B905" s="1" t="str">
        <f>TEXT(Table1[[#This Row],[Date]], "YYYY-mm")</f>
        <v>2024-07</v>
      </c>
      <c r="C905" s="2" t="s">
        <v>10</v>
      </c>
      <c r="D905" s="2" t="s">
        <v>8</v>
      </c>
      <c r="E905" s="2">
        <v>7</v>
      </c>
      <c r="F905" s="2">
        <v>59.84</v>
      </c>
      <c r="G905" s="8">
        <f>Table1[[#This Row],[Quantity]]*Table1[[#This Row],[Price]]</f>
        <v>418.88</v>
      </c>
    </row>
    <row r="906" spans="1:7" ht="21" customHeight="1" x14ac:dyDescent="0.3">
      <c r="A906" s="3" t="s">
        <v>159</v>
      </c>
      <c r="B906" s="3" t="str">
        <f>TEXT(Table1[[#This Row],[Date]], "YYYY-mm")</f>
        <v>2024-10</v>
      </c>
      <c r="C906" s="4" t="s">
        <v>39</v>
      </c>
      <c r="D906" s="4" t="s">
        <v>8</v>
      </c>
      <c r="E906" s="4">
        <v>9</v>
      </c>
      <c r="F906" s="4">
        <v>5.0599999999999996</v>
      </c>
      <c r="G906" s="9">
        <f>Table1[[#This Row],[Quantity]]*Table1[[#This Row],[Price]]</f>
        <v>45.54</v>
      </c>
    </row>
    <row r="907" spans="1:7" ht="21" customHeight="1" x14ac:dyDescent="0.3">
      <c r="A907" s="1" t="s">
        <v>186</v>
      </c>
      <c r="B907" s="1" t="str">
        <f>TEXT(Table1[[#This Row],[Date]], "YYYY-mm")</f>
        <v>2024-02</v>
      </c>
      <c r="C907" s="2" t="s">
        <v>18</v>
      </c>
      <c r="D907" s="2" t="s">
        <v>19</v>
      </c>
      <c r="E907" s="2">
        <v>12</v>
      </c>
      <c r="F907" s="2">
        <v>508.87</v>
      </c>
      <c r="G907" s="8">
        <f>Table1[[#This Row],[Quantity]]*Table1[[#This Row],[Price]]</f>
        <v>6106.4400000000005</v>
      </c>
    </row>
    <row r="908" spans="1:7" ht="21" customHeight="1" x14ac:dyDescent="0.3">
      <c r="A908" s="3" t="s">
        <v>68</v>
      </c>
      <c r="B908" s="3" t="str">
        <f>TEXT(Table1[[#This Row],[Date]], "YYYY-mm")</f>
        <v>2024-07</v>
      </c>
      <c r="C908" s="4" t="s">
        <v>39</v>
      </c>
      <c r="D908" s="4" t="s">
        <v>8</v>
      </c>
      <c r="E908" s="4">
        <v>10</v>
      </c>
      <c r="F908" s="4">
        <v>6.77</v>
      </c>
      <c r="G908" s="9">
        <f>Table1[[#This Row],[Quantity]]*Table1[[#This Row],[Price]]</f>
        <v>67.699999999999989</v>
      </c>
    </row>
    <row r="909" spans="1:7" ht="21" customHeight="1" x14ac:dyDescent="0.3">
      <c r="A909" s="1" t="s">
        <v>28</v>
      </c>
      <c r="B909" s="1" t="str">
        <f>TEXT(Table1[[#This Row],[Date]], "YYYY-mm")</f>
        <v>2024-02</v>
      </c>
      <c r="C909" s="2" t="s">
        <v>29</v>
      </c>
      <c r="D909" s="2" t="s">
        <v>19</v>
      </c>
      <c r="E909" s="2">
        <v>1</v>
      </c>
      <c r="F909" s="2">
        <v>1061.3599999999999</v>
      </c>
      <c r="G909" s="8">
        <f>Table1[[#This Row],[Quantity]]*Table1[[#This Row],[Price]]</f>
        <v>1061.3599999999999</v>
      </c>
    </row>
    <row r="910" spans="1:7" ht="21" customHeight="1" x14ac:dyDescent="0.3">
      <c r="A910" s="3" t="s">
        <v>128</v>
      </c>
      <c r="B910" s="3" t="str">
        <f>TEXT(Table1[[#This Row],[Date]], "YYYY-mm")</f>
        <v>2024-03</v>
      </c>
      <c r="C910" s="4" t="s">
        <v>25</v>
      </c>
      <c r="D910" s="4" t="s">
        <v>19</v>
      </c>
      <c r="E910" s="4">
        <v>13</v>
      </c>
      <c r="F910" s="4">
        <v>557.92999999999995</v>
      </c>
      <c r="G910" s="9">
        <f>Table1[[#This Row],[Quantity]]*Table1[[#This Row],[Price]]</f>
        <v>7253.0899999999992</v>
      </c>
    </row>
    <row r="911" spans="1:7" ht="21" customHeight="1" x14ac:dyDescent="0.3">
      <c r="A911" s="1" t="s">
        <v>107</v>
      </c>
      <c r="B911" s="1" t="str">
        <f>TEXT(Table1[[#This Row],[Date]], "YYYY-mm")</f>
        <v>2024-08</v>
      </c>
      <c r="C911" s="2" t="s">
        <v>15</v>
      </c>
      <c r="D911" s="2" t="s">
        <v>8</v>
      </c>
      <c r="E911" s="2">
        <v>4</v>
      </c>
      <c r="F911" s="2">
        <v>5.83</v>
      </c>
      <c r="G911" s="8">
        <f>Table1[[#This Row],[Quantity]]*Table1[[#This Row],[Price]]</f>
        <v>23.32</v>
      </c>
    </row>
    <row r="912" spans="1:7" ht="21" customHeight="1" x14ac:dyDescent="0.3">
      <c r="A912" s="3" t="s">
        <v>255</v>
      </c>
      <c r="B912" s="3" t="str">
        <f>TEXT(Table1[[#This Row],[Date]], "YYYY-mm")</f>
        <v>2024-09</v>
      </c>
      <c r="C912" s="4" t="s">
        <v>39</v>
      </c>
      <c r="D912" s="4" t="s">
        <v>8</v>
      </c>
      <c r="E912" s="4">
        <v>8</v>
      </c>
      <c r="F912" s="4">
        <v>6.94</v>
      </c>
      <c r="G912" s="9">
        <f>Table1[[#This Row],[Quantity]]*Table1[[#This Row],[Price]]</f>
        <v>55.52</v>
      </c>
    </row>
    <row r="913" spans="1:7" ht="21" customHeight="1" x14ac:dyDescent="0.3">
      <c r="A913" s="1" t="s">
        <v>132</v>
      </c>
      <c r="B913" s="1" t="str">
        <f>TEXT(Table1[[#This Row],[Date]], "YYYY-mm")</f>
        <v>2024-11</v>
      </c>
      <c r="C913" s="2" t="s">
        <v>12</v>
      </c>
      <c r="D913" s="2" t="s">
        <v>13</v>
      </c>
      <c r="E913" s="2">
        <v>3</v>
      </c>
      <c r="F913" s="2">
        <v>534.09</v>
      </c>
      <c r="G913" s="8">
        <f>Table1[[#This Row],[Quantity]]*Table1[[#This Row],[Price]]</f>
        <v>1602.27</v>
      </c>
    </row>
    <row r="914" spans="1:7" ht="21" customHeight="1" x14ac:dyDescent="0.3">
      <c r="A914" s="3" t="s">
        <v>273</v>
      </c>
      <c r="B914" s="3" t="str">
        <f>TEXT(Table1[[#This Row],[Date]], "YYYY-mm")</f>
        <v>2024-02</v>
      </c>
      <c r="C914" s="4" t="s">
        <v>44</v>
      </c>
      <c r="D914" s="4" t="s">
        <v>8</v>
      </c>
      <c r="E914" s="4">
        <v>9</v>
      </c>
      <c r="F914" s="4">
        <v>19.75</v>
      </c>
      <c r="G914" s="9">
        <f>Table1[[#This Row],[Quantity]]*Table1[[#This Row],[Price]]</f>
        <v>177.75</v>
      </c>
    </row>
    <row r="915" spans="1:7" ht="21" customHeight="1" x14ac:dyDescent="0.3">
      <c r="A915" s="1" t="s">
        <v>114</v>
      </c>
      <c r="B915" s="1" t="str">
        <f>TEXT(Table1[[#This Row],[Date]], "YYYY-mm")</f>
        <v>2024-07</v>
      </c>
      <c r="C915" s="2" t="s">
        <v>34</v>
      </c>
      <c r="D915" s="2" t="s">
        <v>19</v>
      </c>
      <c r="E915" s="2">
        <v>14</v>
      </c>
      <c r="F915" s="2">
        <v>1615.11</v>
      </c>
      <c r="G915" s="8">
        <f>Table1[[#This Row],[Quantity]]*Table1[[#This Row],[Price]]</f>
        <v>22611.539999999997</v>
      </c>
    </row>
    <row r="916" spans="1:7" ht="21" customHeight="1" x14ac:dyDescent="0.3">
      <c r="A916" s="3" t="s">
        <v>356</v>
      </c>
      <c r="B916" s="3" t="str">
        <f>TEXT(Table1[[#This Row],[Date]], "YYYY-mm")</f>
        <v>2024-07</v>
      </c>
      <c r="C916" s="4" t="s">
        <v>10</v>
      </c>
      <c r="D916" s="4" t="s">
        <v>8</v>
      </c>
      <c r="E916" s="4">
        <v>4</v>
      </c>
      <c r="F916" s="4">
        <v>72.31</v>
      </c>
      <c r="G916" s="9">
        <f>Table1[[#This Row],[Quantity]]*Table1[[#This Row],[Price]]</f>
        <v>289.24</v>
      </c>
    </row>
    <row r="917" spans="1:7" ht="21" customHeight="1" x14ac:dyDescent="0.3">
      <c r="A917" s="1" t="s">
        <v>251</v>
      </c>
      <c r="B917" s="1" t="str">
        <f>TEXT(Table1[[#This Row],[Date]], "YYYY-mm")</f>
        <v>2024-01</v>
      </c>
      <c r="C917" s="2" t="s">
        <v>29</v>
      </c>
      <c r="D917" s="2" t="s">
        <v>19</v>
      </c>
      <c r="E917" s="2">
        <v>2</v>
      </c>
      <c r="F917" s="2">
        <v>884.5</v>
      </c>
      <c r="G917" s="8">
        <f>Table1[[#This Row],[Quantity]]*Table1[[#This Row],[Price]]</f>
        <v>1769</v>
      </c>
    </row>
    <row r="918" spans="1:7" ht="21" customHeight="1" x14ac:dyDescent="0.3">
      <c r="A918" s="3" t="s">
        <v>232</v>
      </c>
      <c r="B918" s="3" t="str">
        <f>TEXT(Table1[[#This Row],[Date]], "YYYY-mm")</f>
        <v>2024-10</v>
      </c>
      <c r="C918" s="4" t="s">
        <v>44</v>
      </c>
      <c r="D918" s="4" t="s">
        <v>8</v>
      </c>
      <c r="E918" s="4">
        <v>11</v>
      </c>
      <c r="F918" s="4">
        <v>14.62</v>
      </c>
      <c r="G918" s="9">
        <f>Table1[[#This Row],[Quantity]]*Table1[[#This Row],[Price]]</f>
        <v>160.82</v>
      </c>
    </row>
    <row r="919" spans="1:7" ht="21" customHeight="1" x14ac:dyDescent="0.3">
      <c r="A919" s="1" t="s">
        <v>189</v>
      </c>
      <c r="B919" s="1" t="str">
        <f>TEXT(Table1[[#This Row],[Date]], "YYYY-mm")</f>
        <v>2024-09</v>
      </c>
      <c r="C919" s="2" t="s">
        <v>10</v>
      </c>
      <c r="D919" s="2" t="s">
        <v>8</v>
      </c>
      <c r="E919" s="2">
        <v>6</v>
      </c>
      <c r="F919" s="2">
        <v>53.72</v>
      </c>
      <c r="G919" s="8">
        <f>Table1[[#This Row],[Quantity]]*Table1[[#This Row],[Price]]</f>
        <v>322.32</v>
      </c>
    </row>
    <row r="920" spans="1:7" ht="21" customHeight="1" x14ac:dyDescent="0.3">
      <c r="A920" s="3" t="s">
        <v>323</v>
      </c>
      <c r="B920" s="3" t="str">
        <f>TEXT(Table1[[#This Row],[Date]], "YYYY-mm")</f>
        <v>2024-10</v>
      </c>
      <c r="C920" s="4" t="s">
        <v>10</v>
      </c>
      <c r="D920" s="4" t="s">
        <v>8</v>
      </c>
      <c r="E920" s="4">
        <v>4</v>
      </c>
      <c r="F920" s="4">
        <v>116.73</v>
      </c>
      <c r="G920" s="9">
        <f>Table1[[#This Row],[Quantity]]*Table1[[#This Row],[Price]]</f>
        <v>466.92</v>
      </c>
    </row>
    <row r="921" spans="1:7" ht="21" customHeight="1" x14ac:dyDescent="0.3">
      <c r="A921" s="1" t="s">
        <v>250</v>
      </c>
      <c r="B921" s="1" t="str">
        <f>TEXT(Table1[[#This Row],[Date]], "YYYY-mm")</f>
        <v>2024-10</v>
      </c>
      <c r="C921" s="2" t="s">
        <v>18</v>
      </c>
      <c r="D921" s="2" t="s">
        <v>19</v>
      </c>
      <c r="E921" s="2">
        <v>4</v>
      </c>
      <c r="F921" s="2">
        <v>799.47</v>
      </c>
      <c r="G921" s="8">
        <f>Table1[[#This Row],[Quantity]]*Table1[[#This Row],[Price]]</f>
        <v>3197.88</v>
      </c>
    </row>
    <row r="922" spans="1:7" ht="21" customHeight="1" x14ac:dyDescent="0.3">
      <c r="A922" s="3" t="s">
        <v>203</v>
      </c>
      <c r="B922" s="3" t="str">
        <f>TEXT(Table1[[#This Row],[Date]], "YYYY-mm")</f>
        <v>2024-03</v>
      </c>
      <c r="C922" s="4" t="s">
        <v>15</v>
      </c>
      <c r="D922" s="4" t="s">
        <v>8</v>
      </c>
      <c r="E922" s="4">
        <v>10</v>
      </c>
      <c r="F922" s="4">
        <v>4.62</v>
      </c>
      <c r="G922" s="9">
        <f>Table1[[#This Row],[Quantity]]*Table1[[#This Row],[Price]]</f>
        <v>46.2</v>
      </c>
    </row>
    <row r="923" spans="1:7" ht="21" customHeight="1" x14ac:dyDescent="0.3">
      <c r="A923" s="1" t="s">
        <v>357</v>
      </c>
      <c r="B923" s="1" t="str">
        <f>TEXT(Table1[[#This Row],[Date]], "YYYY-mm")</f>
        <v>2024-11</v>
      </c>
      <c r="C923" s="2" t="s">
        <v>29</v>
      </c>
      <c r="D923" s="2" t="s">
        <v>19</v>
      </c>
      <c r="E923" s="2">
        <v>14</v>
      </c>
      <c r="F923" s="2">
        <v>523.52</v>
      </c>
      <c r="G923" s="8">
        <f>Table1[[#This Row],[Quantity]]*Table1[[#This Row],[Price]]</f>
        <v>7329.28</v>
      </c>
    </row>
    <row r="924" spans="1:7" ht="21" customHeight="1" x14ac:dyDescent="0.3">
      <c r="A924" s="3" t="s">
        <v>278</v>
      </c>
      <c r="B924" s="3" t="str">
        <f>TEXT(Table1[[#This Row],[Date]], "YYYY-mm")</f>
        <v>2024-08</v>
      </c>
      <c r="C924" s="4" t="s">
        <v>27</v>
      </c>
      <c r="D924" s="4" t="s">
        <v>8</v>
      </c>
      <c r="E924" s="4">
        <v>6</v>
      </c>
      <c r="F924" s="4">
        <v>91.89</v>
      </c>
      <c r="G924" s="9">
        <f>Table1[[#This Row],[Quantity]]*Table1[[#This Row],[Price]]</f>
        <v>551.34</v>
      </c>
    </row>
    <row r="925" spans="1:7" ht="21" customHeight="1" x14ac:dyDescent="0.3">
      <c r="A925" s="1" t="s">
        <v>321</v>
      </c>
      <c r="B925" s="1" t="str">
        <f>TEXT(Table1[[#This Row],[Date]], "YYYY-mm")</f>
        <v>2024-05</v>
      </c>
      <c r="C925" s="2" t="s">
        <v>29</v>
      </c>
      <c r="D925" s="2" t="s">
        <v>19</v>
      </c>
      <c r="E925" s="2">
        <v>1</v>
      </c>
      <c r="F925" s="2">
        <v>1480.49</v>
      </c>
      <c r="G925" s="8">
        <f>Table1[[#This Row],[Quantity]]*Table1[[#This Row],[Price]]</f>
        <v>1480.49</v>
      </c>
    </row>
    <row r="926" spans="1:7" ht="21" customHeight="1" x14ac:dyDescent="0.3">
      <c r="A926" s="3" t="s">
        <v>55</v>
      </c>
      <c r="B926" s="3" t="str">
        <f>TEXT(Table1[[#This Row],[Date]], "YYYY-mm")</f>
        <v>2024-12</v>
      </c>
      <c r="C926" s="4" t="s">
        <v>7</v>
      </c>
      <c r="D926" s="4" t="s">
        <v>8</v>
      </c>
      <c r="E926" s="4">
        <v>12</v>
      </c>
      <c r="F926" s="4">
        <v>34.47</v>
      </c>
      <c r="G926" s="9">
        <f>Table1[[#This Row],[Quantity]]*Table1[[#This Row],[Price]]</f>
        <v>413.64</v>
      </c>
    </row>
    <row r="927" spans="1:7" ht="21" customHeight="1" x14ac:dyDescent="0.3">
      <c r="A927" s="1" t="s">
        <v>269</v>
      </c>
      <c r="B927" s="1" t="str">
        <f>TEXT(Table1[[#This Row],[Date]], "YYYY-mm")</f>
        <v>2024-06</v>
      </c>
      <c r="C927" s="2" t="s">
        <v>27</v>
      </c>
      <c r="D927" s="2" t="s">
        <v>8</v>
      </c>
      <c r="E927" s="2">
        <v>15</v>
      </c>
      <c r="F927" s="2">
        <v>137.82</v>
      </c>
      <c r="G927" s="8">
        <f>Table1[[#This Row],[Quantity]]*Table1[[#This Row],[Price]]</f>
        <v>2067.2999999999997</v>
      </c>
    </row>
    <row r="928" spans="1:7" ht="21" customHeight="1" x14ac:dyDescent="0.3">
      <c r="A928" s="3" t="s">
        <v>249</v>
      </c>
      <c r="B928" s="3" t="str">
        <f>TEXT(Table1[[#This Row],[Date]], "YYYY-mm")</f>
        <v>2024-03</v>
      </c>
      <c r="C928" s="4" t="s">
        <v>44</v>
      </c>
      <c r="D928" s="4" t="s">
        <v>8</v>
      </c>
      <c r="E928" s="4">
        <v>7</v>
      </c>
      <c r="F928" s="4">
        <v>18.829999999999998</v>
      </c>
      <c r="G928" s="9">
        <f>Table1[[#This Row],[Quantity]]*Table1[[#This Row],[Price]]</f>
        <v>131.81</v>
      </c>
    </row>
    <row r="929" spans="1:7" ht="21" customHeight="1" x14ac:dyDescent="0.3">
      <c r="A929" s="1" t="s">
        <v>64</v>
      </c>
      <c r="B929" s="1" t="str">
        <f>TEXT(Table1[[#This Row],[Date]], "YYYY-mm")</f>
        <v>2024-06</v>
      </c>
      <c r="C929" s="2" t="s">
        <v>29</v>
      </c>
      <c r="D929" s="2" t="s">
        <v>19</v>
      </c>
      <c r="E929" s="2">
        <v>8</v>
      </c>
      <c r="F929" s="2">
        <v>2010.87</v>
      </c>
      <c r="G929" s="8">
        <f>Table1[[#This Row],[Quantity]]*Table1[[#This Row],[Price]]</f>
        <v>16086.96</v>
      </c>
    </row>
    <row r="930" spans="1:7" ht="21" customHeight="1" x14ac:dyDescent="0.3">
      <c r="A930" s="3" t="s">
        <v>330</v>
      </c>
      <c r="B930" s="3" t="str">
        <f>TEXT(Table1[[#This Row],[Date]], "YYYY-mm")</f>
        <v>2024-11</v>
      </c>
      <c r="C930" s="4" t="s">
        <v>22</v>
      </c>
      <c r="D930" s="4" t="s">
        <v>13</v>
      </c>
      <c r="E930" s="4">
        <v>13</v>
      </c>
      <c r="F930" s="4">
        <v>1296.05</v>
      </c>
      <c r="G930" s="9">
        <f>Table1[[#This Row],[Quantity]]*Table1[[#This Row],[Price]]</f>
        <v>16848.649999999998</v>
      </c>
    </row>
    <row r="931" spans="1:7" ht="21" customHeight="1" x14ac:dyDescent="0.3">
      <c r="A931" s="1" t="s">
        <v>278</v>
      </c>
      <c r="B931" s="1" t="str">
        <f>TEXT(Table1[[#This Row],[Date]], "YYYY-mm")</f>
        <v>2024-08</v>
      </c>
      <c r="C931" s="2" t="s">
        <v>44</v>
      </c>
      <c r="D931" s="2" t="s">
        <v>8</v>
      </c>
      <c r="E931" s="2">
        <v>2</v>
      </c>
      <c r="F931" s="2">
        <v>9.81</v>
      </c>
      <c r="G931" s="8">
        <f>Table1[[#This Row],[Quantity]]*Table1[[#This Row],[Price]]</f>
        <v>19.62</v>
      </c>
    </row>
    <row r="932" spans="1:7" ht="21" customHeight="1" x14ac:dyDescent="0.3">
      <c r="A932" s="3" t="s">
        <v>324</v>
      </c>
      <c r="B932" s="3" t="str">
        <f>TEXT(Table1[[#This Row],[Date]], "YYYY-mm")</f>
        <v>2024-11</v>
      </c>
      <c r="C932" s="4" t="s">
        <v>7</v>
      </c>
      <c r="D932" s="4" t="s">
        <v>8</v>
      </c>
      <c r="E932" s="4">
        <v>14</v>
      </c>
      <c r="F932" s="4">
        <v>79.28</v>
      </c>
      <c r="G932" s="9">
        <f>Table1[[#This Row],[Quantity]]*Table1[[#This Row],[Price]]</f>
        <v>1109.92</v>
      </c>
    </row>
    <row r="933" spans="1:7" ht="21" customHeight="1" x14ac:dyDescent="0.3">
      <c r="A933" s="1" t="s">
        <v>53</v>
      </c>
      <c r="B933" s="1" t="str">
        <f>TEXT(Table1[[#This Row],[Date]], "YYYY-mm")</f>
        <v>2024-05</v>
      </c>
      <c r="C933" s="2" t="s">
        <v>12</v>
      </c>
      <c r="D933" s="2" t="s">
        <v>13</v>
      </c>
      <c r="E933" s="2">
        <v>1</v>
      </c>
      <c r="F933" s="2">
        <v>426.99</v>
      </c>
      <c r="G933" s="8">
        <f>Table1[[#This Row],[Quantity]]*Table1[[#This Row],[Price]]</f>
        <v>426.99</v>
      </c>
    </row>
    <row r="934" spans="1:7" ht="21" customHeight="1" x14ac:dyDescent="0.3">
      <c r="A934" s="3" t="s">
        <v>272</v>
      </c>
      <c r="B934" s="3" t="str">
        <f>TEXT(Table1[[#This Row],[Date]], "YYYY-mm")</f>
        <v>2024-05</v>
      </c>
      <c r="C934" s="4" t="s">
        <v>29</v>
      </c>
      <c r="D934" s="4" t="s">
        <v>19</v>
      </c>
      <c r="E934" s="4">
        <v>15</v>
      </c>
      <c r="F934" s="4">
        <v>2450.7800000000002</v>
      </c>
      <c r="G934" s="9">
        <f>Table1[[#This Row],[Quantity]]*Table1[[#This Row],[Price]]</f>
        <v>36761.700000000004</v>
      </c>
    </row>
    <row r="935" spans="1:7" ht="21" customHeight="1" x14ac:dyDescent="0.3">
      <c r="A935" s="1" t="s">
        <v>58</v>
      </c>
      <c r="B935" s="1" t="str">
        <f>TEXT(Table1[[#This Row],[Date]], "YYYY-mm")</f>
        <v>2024-01</v>
      </c>
      <c r="C935" s="2" t="s">
        <v>44</v>
      </c>
      <c r="D935" s="2" t="s">
        <v>8</v>
      </c>
      <c r="E935" s="2">
        <v>5</v>
      </c>
      <c r="F935" s="2">
        <v>18.96</v>
      </c>
      <c r="G935" s="8">
        <f>Table1[[#This Row],[Quantity]]*Table1[[#This Row],[Price]]</f>
        <v>94.800000000000011</v>
      </c>
    </row>
    <row r="936" spans="1:7" ht="21" customHeight="1" x14ac:dyDescent="0.3">
      <c r="A936" s="3" t="s">
        <v>184</v>
      </c>
      <c r="B936" s="3" t="str">
        <f>TEXT(Table1[[#This Row],[Date]], "YYYY-mm")</f>
        <v>2024-06</v>
      </c>
      <c r="C936" s="4" t="s">
        <v>34</v>
      </c>
      <c r="D936" s="4" t="s">
        <v>19</v>
      </c>
      <c r="E936" s="4">
        <v>8</v>
      </c>
      <c r="F936" s="4">
        <v>825.66</v>
      </c>
      <c r="G936" s="9">
        <f>Table1[[#This Row],[Quantity]]*Table1[[#This Row],[Price]]</f>
        <v>6605.28</v>
      </c>
    </row>
    <row r="937" spans="1:7" ht="21" customHeight="1" x14ac:dyDescent="0.3">
      <c r="A937" s="1" t="s">
        <v>36</v>
      </c>
      <c r="B937" s="1" t="str">
        <f>TEXT(Table1[[#This Row],[Date]], "YYYY-mm")</f>
        <v>2024-08</v>
      </c>
      <c r="C937" s="2" t="s">
        <v>39</v>
      </c>
      <c r="D937" s="2" t="s">
        <v>8</v>
      </c>
      <c r="E937" s="2">
        <v>14</v>
      </c>
      <c r="F937" s="2">
        <v>3.92</v>
      </c>
      <c r="G937" s="8">
        <f>Table1[[#This Row],[Quantity]]*Table1[[#This Row],[Price]]</f>
        <v>54.879999999999995</v>
      </c>
    </row>
    <row r="938" spans="1:7" ht="21" customHeight="1" x14ac:dyDescent="0.3">
      <c r="A938" s="3" t="s">
        <v>178</v>
      </c>
      <c r="B938" s="3" t="str">
        <f>TEXT(Table1[[#This Row],[Date]], "YYYY-mm")</f>
        <v>2024-01</v>
      </c>
      <c r="C938" s="4" t="s">
        <v>39</v>
      </c>
      <c r="D938" s="4" t="s">
        <v>8</v>
      </c>
      <c r="E938" s="4">
        <v>3</v>
      </c>
      <c r="F938" s="4">
        <v>2.2400000000000002</v>
      </c>
      <c r="G938" s="9">
        <f>Table1[[#This Row],[Quantity]]*Table1[[#This Row],[Price]]</f>
        <v>6.7200000000000006</v>
      </c>
    </row>
    <row r="939" spans="1:7" ht="21" customHeight="1" x14ac:dyDescent="0.3">
      <c r="A939" s="1" t="s">
        <v>171</v>
      </c>
      <c r="B939" s="1" t="str">
        <f>TEXT(Table1[[#This Row],[Date]], "YYYY-mm")</f>
        <v>2024-12</v>
      </c>
      <c r="C939" s="2" t="s">
        <v>18</v>
      </c>
      <c r="D939" s="2" t="s">
        <v>19</v>
      </c>
      <c r="E939" s="2">
        <v>7</v>
      </c>
      <c r="F939" s="2">
        <v>532.79</v>
      </c>
      <c r="G939" s="8">
        <f>Table1[[#This Row],[Quantity]]*Table1[[#This Row],[Price]]</f>
        <v>3729.5299999999997</v>
      </c>
    </row>
    <row r="940" spans="1:7" ht="21" customHeight="1" x14ac:dyDescent="0.3">
      <c r="A940" s="3" t="s">
        <v>156</v>
      </c>
      <c r="B940" s="3" t="str">
        <f>TEXT(Table1[[#This Row],[Date]], "YYYY-mm")</f>
        <v>2024-08</v>
      </c>
      <c r="C940" s="4" t="s">
        <v>39</v>
      </c>
      <c r="D940" s="4" t="s">
        <v>8</v>
      </c>
      <c r="E940" s="4">
        <v>8</v>
      </c>
      <c r="F940" s="4">
        <v>7.95</v>
      </c>
      <c r="G940" s="9">
        <f>Table1[[#This Row],[Quantity]]*Table1[[#This Row],[Price]]</f>
        <v>63.6</v>
      </c>
    </row>
    <row r="941" spans="1:7" ht="21" customHeight="1" x14ac:dyDescent="0.3">
      <c r="A941" s="1" t="s">
        <v>285</v>
      </c>
      <c r="B941" s="1" t="str">
        <f>TEXT(Table1[[#This Row],[Date]], "YYYY-mm")</f>
        <v>2024-07</v>
      </c>
      <c r="C941" s="2" t="s">
        <v>29</v>
      </c>
      <c r="D941" s="2" t="s">
        <v>19</v>
      </c>
      <c r="E941" s="2">
        <v>7</v>
      </c>
      <c r="F941" s="2">
        <v>580.17999999999995</v>
      </c>
      <c r="G941" s="8">
        <f>Table1[[#This Row],[Quantity]]*Table1[[#This Row],[Price]]</f>
        <v>4061.2599999999998</v>
      </c>
    </row>
    <row r="942" spans="1:7" ht="21" customHeight="1" x14ac:dyDescent="0.3">
      <c r="A942" s="3" t="s">
        <v>358</v>
      </c>
      <c r="B942" s="3" t="str">
        <f>TEXT(Table1[[#This Row],[Date]], "YYYY-mm")</f>
        <v>2024-09</v>
      </c>
      <c r="C942" s="4" t="s">
        <v>29</v>
      </c>
      <c r="D942" s="4" t="s">
        <v>19</v>
      </c>
      <c r="E942" s="4">
        <v>14</v>
      </c>
      <c r="F942" s="4">
        <v>779.17</v>
      </c>
      <c r="G942" s="9">
        <f>Table1[[#This Row],[Quantity]]*Table1[[#This Row],[Price]]</f>
        <v>10908.38</v>
      </c>
    </row>
    <row r="943" spans="1:7" ht="21" customHeight="1" x14ac:dyDescent="0.3">
      <c r="A943" s="1" t="s">
        <v>296</v>
      </c>
      <c r="B943" s="1" t="str">
        <f>TEXT(Table1[[#This Row],[Date]], "YYYY-mm")</f>
        <v>2024-07</v>
      </c>
      <c r="C943" s="2" t="s">
        <v>7</v>
      </c>
      <c r="D943" s="2" t="s">
        <v>8</v>
      </c>
      <c r="E943" s="2">
        <v>4</v>
      </c>
      <c r="F943" s="2">
        <v>36.28</v>
      </c>
      <c r="G943" s="8">
        <f>Table1[[#This Row],[Quantity]]*Table1[[#This Row],[Price]]</f>
        <v>145.12</v>
      </c>
    </row>
    <row r="944" spans="1:7" ht="21" customHeight="1" x14ac:dyDescent="0.3">
      <c r="A944" s="3" t="s">
        <v>348</v>
      </c>
      <c r="B944" s="3" t="str">
        <f>TEXT(Table1[[#This Row],[Date]], "YYYY-mm")</f>
        <v>2024-11</v>
      </c>
      <c r="C944" s="4" t="s">
        <v>12</v>
      </c>
      <c r="D944" s="4" t="s">
        <v>13</v>
      </c>
      <c r="E944" s="4">
        <v>2</v>
      </c>
      <c r="F944" s="4">
        <v>412.75</v>
      </c>
      <c r="G944" s="9">
        <f>Table1[[#This Row],[Quantity]]*Table1[[#This Row],[Price]]</f>
        <v>825.5</v>
      </c>
    </row>
    <row r="945" spans="1:7" ht="21" customHeight="1" x14ac:dyDescent="0.3">
      <c r="A945" s="1" t="s">
        <v>139</v>
      </c>
      <c r="B945" s="1" t="str">
        <f>TEXT(Table1[[#This Row],[Date]], "YYYY-mm")</f>
        <v>2024-01</v>
      </c>
      <c r="C945" s="2" t="s">
        <v>34</v>
      </c>
      <c r="D945" s="2" t="s">
        <v>19</v>
      </c>
      <c r="E945" s="2">
        <v>11</v>
      </c>
      <c r="F945" s="2">
        <v>1478.65</v>
      </c>
      <c r="G945" s="8">
        <f>Table1[[#This Row],[Quantity]]*Table1[[#This Row],[Price]]</f>
        <v>16265.150000000001</v>
      </c>
    </row>
    <row r="946" spans="1:7" ht="21" customHeight="1" x14ac:dyDescent="0.3">
      <c r="A946" s="3" t="s">
        <v>127</v>
      </c>
      <c r="B946" s="3" t="str">
        <f>TEXT(Table1[[#This Row],[Date]], "YYYY-mm")</f>
        <v>2024-03</v>
      </c>
      <c r="C946" s="4" t="s">
        <v>27</v>
      </c>
      <c r="D946" s="4" t="s">
        <v>8</v>
      </c>
      <c r="E946" s="4">
        <v>1</v>
      </c>
      <c r="F946" s="4">
        <v>230.63</v>
      </c>
      <c r="G946" s="9">
        <f>Table1[[#This Row],[Quantity]]*Table1[[#This Row],[Price]]</f>
        <v>230.63</v>
      </c>
    </row>
    <row r="947" spans="1:7" ht="21" customHeight="1" x14ac:dyDescent="0.3">
      <c r="A947" s="1" t="s">
        <v>40</v>
      </c>
      <c r="B947" s="1" t="str">
        <f>TEXT(Table1[[#This Row],[Date]], "YYYY-mm")</f>
        <v>2024-09</v>
      </c>
      <c r="C947" s="2" t="s">
        <v>27</v>
      </c>
      <c r="D947" s="2" t="s">
        <v>8</v>
      </c>
      <c r="E947" s="2">
        <v>13</v>
      </c>
      <c r="F947" s="2">
        <v>173.87</v>
      </c>
      <c r="G947" s="8">
        <f>Table1[[#This Row],[Quantity]]*Table1[[#This Row],[Price]]</f>
        <v>2260.31</v>
      </c>
    </row>
    <row r="948" spans="1:7" ht="21" customHeight="1" x14ac:dyDescent="0.3">
      <c r="A948" s="3" t="s">
        <v>345</v>
      </c>
      <c r="B948" s="3" t="str">
        <f>TEXT(Table1[[#This Row],[Date]], "YYYY-mm")</f>
        <v>2024-11</v>
      </c>
      <c r="C948" s="4" t="s">
        <v>29</v>
      </c>
      <c r="D948" s="4" t="s">
        <v>19</v>
      </c>
      <c r="E948" s="4">
        <v>5</v>
      </c>
      <c r="F948" s="4">
        <v>860.87</v>
      </c>
      <c r="G948" s="9">
        <f>Table1[[#This Row],[Quantity]]*Table1[[#This Row],[Price]]</f>
        <v>4304.3500000000004</v>
      </c>
    </row>
    <row r="949" spans="1:7" ht="21" customHeight="1" x14ac:dyDescent="0.3">
      <c r="A949" s="1" t="s">
        <v>235</v>
      </c>
      <c r="B949" s="1" t="str">
        <f>TEXT(Table1[[#This Row],[Date]], "YYYY-mm")</f>
        <v>2024-09</v>
      </c>
      <c r="C949" s="2" t="s">
        <v>34</v>
      </c>
      <c r="D949" s="2" t="s">
        <v>19</v>
      </c>
      <c r="E949" s="2">
        <v>2</v>
      </c>
      <c r="F949" s="2">
        <v>1015.62</v>
      </c>
      <c r="G949" s="8">
        <f>Table1[[#This Row],[Quantity]]*Table1[[#This Row],[Price]]</f>
        <v>2031.24</v>
      </c>
    </row>
    <row r="950" spans="1:7" ht="21" customHeight="1" x14ac:dyDescent="0.3">
      <c r="A950" s="3" t="s">
        <v>244</v>
      </c>
      <c r="B950" s="3" t="str">
        <f>TEXT(Table1[[#This Row],[Date]], "YYYY-mm")</f>
        <v>2024-05</v>
      </c>
      <c r="C950" s="4" t="s">
        <v>7</v>
      </c>
      <c r="D950" s="4" t="s">
        <v>8</v>
      </c>
      <c r="E950" s="4">
        <v>6</v>
      </c>
      <c r="F950" s="4">
        <v>34.15</v>
      </c>
      <c r="G950" s="9">
        <f>Table1[[#This Row],[Quantity]]*Table1[[#This Row],[Price]]</f>
        <v>204.89999999999998</v>
      </c>
    </row>
    <row r="951" spans="1:7" ht="21" customHeight="1" x14ac:dyDescent="0.3">
      <c r="A951" s="1" t="s">
        <v>26</v>
      </c>
      <c r="B951" s="1" t="str">
        <f>TEXT(Table1[[#This Row],[Date]], "YYYY-mm")</f>
        <v>2024-01</v>
      </c>
      <c r="C951" s="2" t="s">
        <v>44</v>
      </c>
      <c r="D951" s="2" t="s">
        <v>8</v>
      </c>
      <c r="E951" s="2">
        <v>2</v>
      </c>
      <c r="F951" s="2">
        <v>16.170000000000002</v>
      </c>
      <c r="G951" s="8">
        <f>Table1[[#This Row],[Quantity]]*Table1[[#This Row],[Price]]</f>
        <v>32.340000000000003</v>
      </c>
    </row>
    <row r="952" spans="1:7" ht="21" customHeight="1" x14ac:dyDescent="0.3">
      <c r="A952" s="3" t="s">
        <v>359</v>
      </c>
      <c r="B952" s="3" t="str">
        <f>TEXT(Table1[[#This Row],[Date]], "YYYY-mm")</f>
        <v>2024-09</v>
      </c>
      <c r="C952" s="4" t="s">
        <v>39</v>
      </c>
      <c r="D952" s="4" t="s">
        <v>8</v>
      </c>
      <c r="E952" s="4">
        <v>12</v>
      </c>
      <c r="F952" s="4">
        <v>6.7</v>
      </c>
      <c r="G952" s="9">
        <f>Table1[[#This Row],[Quantity]]*Table1[[#This Row],[Price]]</f>
        <v>80.400000000000006</v>
      </c>
    </row>
    <row r="953" spans="1:7" ht="21" customHeight="1" x14ac:dyDescent="0.3">
      <c r="A953" s="1" t="s">
        <v>275</v>
      </c>
      <c r="B953" s="1" t="str">
        <f>TEXT(Table1[[#This Row],[Date]], "YYYY-mm")</f>
        <v>2024-11</v>
      </c>
      <c r="C953" s="2" t="s">
        <v>25</v>
      </c>
      <c r="D953" s="2" t="s">
        <v>19</v>
      </c>
      <c r="E953" s="2">
        <v>1</v>
      </c>
      <c r="F953" s="2">
        <v>549.73</v>
      </c>
      <c r="G953" s="8">
        <f>Table1[[#This Row],[Quantity]]*Table1[[#This Row],[Price]]</f>
        <v>549.73</v>
      </c>
    </row>
    <row r="954" spans="1:7" ht="21" customHeight="1" x14ac:dyDescent="0.3">
      <c r="A954" s="3" t="s">
        <v>194</v>
      </c>
      <c r="B954" s="3" t="str">
        <f>TEXT(Table1[[#This Row],[Date]], "YYYY-mm")</f>
        <v>2024-02</v>
      </c>
      <c r="C954" s="4" t="s">
        <v>25</v>
      </c>
      <c r="D954" s="4" t="s">
        <v>19</v>
      </c>
      <c r="E954" s="4">
        <v>4</v>
      </c>
      <c r="F954" s="4">
        <v>932.61</v>
      </c>
      <c r="G954" s="9">
        <f>Table1[[#This Row],[Quantity]]*Table1[[#This Row],[Price]]</f>
        <v>3730.44</v>
      </c>
    </row>
    <row r="955" spans="1:7" ht="21" customHeight="1" x14ac:dyDescent="0.3">
      <c r="A955" s="1" t="s">
        <v>342</v>
      </c>
      <c r="B955" s="1" t="str">
        <f>TEXT(Table1[[#This Row],[Date]], "YYYY-mm")</f>
        <v>2024-01</v>
      </c>
      <c r="C955" s="2" t="s">
        <v>25</v>
      </c>
      <c r="D955" s="2" t="s">
        <v>19</v>
      </c>
      <c r="E955" s="2">
        <v>9</v>
      </c>
      <c r="F955" s="2">
        <v>315.88</v>
      </c>
      <c r="G955" s="8">
        <f>Table1[[#This Row],[Quantity]]*Table1[[#This Row],[Price]]</f>
        <v>2842.92</v>
      </c>
    </row>
    <row r="956" spans="1:7" ht="21" customHeight="1" x14ac:dyDescent="0.3">
      <c r="A956" s="3" t="s">
        <v>360</v>
      </c>
      <c r="B956" s="3" t="str">
        <f>TEXT(Table1[[#This Row],[Date]], "YYYY-mm")</f>
        <v>2024-08</v>
      </c>
      <c r="C956" s="4" t="s">
        <v>29</v>
      </c>
      <c r="D956" s="4" t="s">
        <v>19</v>
      </c>
      <c r="E956" s="4">
        <v>6</v>
      </c>
      <c r="F956" s="4">
        <v>655.64</v>
      </c>
      <c r="G956" s="9">
        <f>Table1[[#This Row],[Quantity]]*Table1[[#This Row],[Price]]</f>
        <v>3933.84</v>
      </c>
    </row>
    <row r="957" spans="1:7" ht="21" customHeight="1" x14ac:dyDescent="0.3">
      <c r="A957" s="1" t="s">
        <v>360</v>
      </c>
      <c r="B957" s="1" t="str">
        <f>TEXT(Table1[[#This Row],[Date]], "YYYY-mm")</f>
        <v>2024-08</v>
      </c>
      <c r="C957" s="2" t="s">
        <v>27</v>
      </c>
      <c r="D957" s="2" t="s">
        <v>8</v>
      </c>
      <c r="E957" s="2">
        <v>2</v>
      </c>
      <c r="F957" s="2">
        <v>110.88</v>
      </c>
      <c r="G957" s="8">
        <f>Table1[[#This Row],[Quantity]]*Table1[[#This Row],[Price]]</f>
        <v>221.76</v>
      </c>
    </row>
    <row r="958" spans="1:7" ht="21" customHeight="1" x14ac:dyDescent="0.3">
      <c r="A958" s="3" t="s">
        <v>234</v>
      </c>
      <c r="B958" s="3" t="str">
        <f>TEXT(Table1[[#This Row],[Date]], "YYYY-mm")</f>
        <v>2024-03</v>
      </c>
      <c r="C958" s="4" t="s">
        <v>34</v>
      </c>
      <c r="D958" s="4" t="s">
        <v>19</v>
      </c>
      <c r="E958" s="4">
        <v>9</v>
      </c>
      <c r="F958" s="4">
        <v>1780.25</v>
      </c>
      <c r="G958" s="9">
        <f>Table1[[#This Row],[Quantity]]*Table1[[#This Row],[Price]]</f>
        <v>16022.25</v>
      </c>
    </row>
    <row r="959" spans="1:7" ht="21" customHeight="1" x14ac:dyDescent="0.3">
      <c r="A959" s="1" t="s">
        <v>211</v>
      </c>
      <c r="B959" s="1" t="str">
        <f>TEXT(Table1[[#This Row],[Date]], "YYYY-mm")</f>
        <v>2024-11</v>
      </c>
      <c r="C959" s="2" t="s">
        <v>39</v>
      </c>
      <c r="D959" s="2" t="s">
        <v>8</v>
      </c>
      <c r="E959" s="2">
        <v>12</v>
      </c>
      <c r="F959" s="2">
        <v>7.28</v>
      </c>
      <c r="G959" s="8">
        <f>Table1[[#This Row],[Quantity]]*Table1[[#This Row],[Price]]</f>
        <v>87.36</v>
      </c>
    </row>
    <row r="960" spans="1:7" ht="21" customHeight="1" x14ac:dyDescent="0.3">
      <c r="A960" s="3" t="s">
        <v>175</v>
      </c>
      <c r="B960" s="3" t="str">
        <f>TEXT(Table1[[#This Row],[Date]], "YYYY-mm")</f>
        <v>2024-07</v>
      </c>
      <c r="C960" s="4" t="s">
        <v>18</v>
      </c>
      <c r="D960" s="4" t="s">
        <v>19</v>
      </c>
      <c r="E960" s="4">
        <v>4</v>
      </c>
      <c r="F960" s="4">
        <v>308.58</v>
      </c>
      <c r="G960" s="9">
        <f>Table1[[#This Row],[Quantity]]*Table1[[#This Row],[Price]]</f>
        <v>1234.32</v>
      </c>
    </row>
    <row r="961" spans="1:7" ht="21" customHeight="1" x14ac:dyDescent="0.3">
      <c r="A961" s="1" t="s">
        <v>36</v>
      </c>
      <c r="B961" s="1" t="str">
        <f>TEXT(Table1[[#This Row],[Date]], "YYYY-mm")</f>
        <v>2024-08</v>
      </c>
      <c r="C961" s="2" t="s">
        <v>34</v>
      </c>
      <c r="D961" s="2" t="s">
        <v>19</v>
      </c>
      <c r="E961" s="2">
        <v>4</v>
      </c>
      <c r="F961" s="2">
        <v>948.72</v>
      </c>
      <c r="G961" s="8">
        <f>Table1[[#This Row],[Quantity]]*Table1[[#This Row],[Price]]</f>
        <v>3794.88</v>
      </c>
    </row>
    <row r="962" spans="1:7" ht="21" customHeight="1" x14ac:dyDescent="0.3">
      <c r="A962" s="3" t="s">
        <v>62</v>
      </c>
      <c r="B962" s="3" t="str">
        <f>TEXT(Table1[[#This Row],[Date]], "YYYY-mm")</f>
        <v>2024-05</v>
      </c>
      <c r="C962" s="4" t="s">
        <v>39</v>
      </c>
      <c r="D962" s="4" t="s">
        <v>8</v>
      </c>
      <c r="E962" s="4">
        <v>3</v>
      </c>
      <c r="F962" s="4">
        <v>4.54</v>
      </c>
      <c r="G962" s="9">
        <f>Table1[[#This Row],[Quantity]]*Table1[[#This Row],[Price]]</f>
        <v>13.620000000000001</v>
      </c>
    </row>
    <row r="963" spans="1:7" ht="21" customHeight="1" x14ac:dyDescent="0.3">
      <c r="A963" s="1" t="s">
        <v>201</v>
      </c>
      <c r="B963" s="1" t="str">
        <f>TEXT(Table1[[#This Row],[Date]], "YYYY-mm")</f>
        <v>2024-10</v>
      </c>
      <c r="C963" s="2" t="s">
        <v>22</v>
      </c>
      <c r="D963" s="2" t="s">
        <v>13</v>
      </c>
      <c r="E963" s="2">
        <v>10</v>
      </c>
      <c r="F963" s="2">
        <v>1661.83</v>
      </c>
      <c r="G963" s="8">
        <f>Table1[[#This Row],[Quantity]]*Table1[[#This Row],[Price]]</f>
        <v>16618.3</v>
      </c>
    </row>
    <row r="964" spans="1:7" ht="21" customHeight="1" x14ac:dyDescent="0.3">
      <c r="A964" s="3" t="s">
        <v>276</v>
      </c>
      <c r="B964" s="3" t="str">
        <f>TEXT(Table1[[#This Row],[Date]], "YYYY-mm")</f>
        <v>2024-02</v>
      </c>
      <c r="C964" s="4" t="s">
        <v>34</v>
      </c>
      <c r="D964" s="4" t="s">
        <v>19</v>
      </c>
      <c r="E964" s="4">
        <v>7</v>
      </c>
      <c r="F964" s="4">
        <v>1262.1400000000001</v>
      </c>
      <c r="G964" s="9">
        <f>Table1[[#This Row],[Quantity]]*Table1[[#This Row],[Price]]</f>
        <v>8834.9800000000014</v>
      </c>
    </row>
    <row r="965" spans="1:7" ht="21" customHeight="1" x14ac:dyDescent="0.3">
      <c r="A965" s="1" t="s">
        <v>185</v>
      </c>
      <c r="B965" s="1" t="str">
        <f>TEXT(Table1[[#This Row],[Date]], "YYYY-mm")</f>
        <v>2024-01</v>
      </c>
      <c r="C965" s="2" t="s">
        <v>27</v>
      </c>
      <c r="D965" s="2" t="s">
        <v>8</v>
      </c>
      <c r="E965" s="2">
        <v>7</v>
      </c>
      <c r="F965" s="2">
        <v>199</v>
      </c>
      <c r="G965" s="8">
        <f>Table1[[#This Row],[Quantity]]*Table1[[#This Row],[Price]]</f>
        <v>1393</v>
      </c>
    </row>
    <row r="966" spans="1:7" ht="21" customHeight="1" x14ac:dyDescent="0.3">
      <c r="A966" s="3" t="s">
        <v>87</v>
      </c>
      <c r="B966" s="3" t="str">
        <f>TEXT(Table1[[#This Row],[Date]], "YYYY-mm")</f>
        <v>2024-02</v>
      </c>
      <c r="C966" s="4" t="s">
        <v>12</v>
      </c>
      <c r="D966" s="4" t="s">
        <v>13</v>
      </c>
      <c r="E966" s="4">
        <v>13</v>
      </c>
      <c r="F966" s="4">
        <v>559.25</v>
      </c>
      <c r="G966" s="9">
        <f>Table1[[#This Row],[Quantity]]*Table1[[#This Row],[Price]]</f>
        <v>7270.25</v>
      </c>
    </row>
    <row r="967" spans="1:7" ht="21" customHeight="1" x14ac:dyDescent="0.3">
      <c r="A967" s="1" t="s">
        <v>320</v>
      </c>
      <c r="B967" s="1" t="str">
        <f>TEXT(Table1[[#This Row],[Date]], "YYYY-mm")</f>
        <v>2024-02</v>
      </c>
      <c r="C967" s="2" t="s">
        <v>7</v>
      </c>
      <c r="D967" s="2" t="s">
        <v>8</v>
      </c>
      <c r="E967" s="2">
        <v>2</v>
      </c>
      <c r="F967" s="2">
        <v>70.930000000000007</v>
      </c>
      <c r="G967" s="8">
        <f>Table1[[#This Row],[Quantity]]*Table1[[#This Row],[Price]]</f>
        <v>141.86000000000001</v>
      </c>
    </row>
    <row r="968" spans="1:7" ht="21" customHeight="1" x14ac:dyDescent="0.3">
      <c r="A968" s="3" t="s">
        <v>107</v>
      </c>
      <c r="B968" s="3" t="str">
        <f>TEXT(Table1[[#This Row],[Date]], "YYYY-mm")</f>
        <v>2024-08</v>
      </c>
      <c r="C968" s="4" t="s">
        <v>44</v>
      </c>
      <c r="D968" s="4" t="s">
        <v>8</v>
      </c>
      <c r="E968" s="4">
        <v>4</v>
      </c>
      <c r="F968" s="4">
        <v>11.47</v>
      </c>
      <c r="G968" s="9">
        <f>Table1[[#This Row],[Quantity]]*Table1[[#This Row],[Price]]</f>
        <v>45.88</v>
      </c>
    </row>
    <row r="969" spans="1:7" ht="21" customHeight="1" x14ac:dyDescent="0.3">
      <c r="A969" s="1" t="s">
        <v>173</v>
      </c>
      <c r="B969" s="1" t="str">
        <f>TEXT(Table1[[#This Row],[Date]], "YYYY-mm")</f>
        <v>2024-03</v>
      </c>
      <c r="C969" s="2" t="s">
        <v>39</v>
      </c>
      <c r="D969" s="2" t="s">
        <v>8</v>
      </c>
      <c r="E969" s="2">
        <v>12</v>
      </c>
      <c r="F969" s="2">
        <v>5.46</v>
      </c>
      <c r="G969" s="8">
        <f>Table1[[#This Row],[Quantity]]*Table1[[#This Row],[Price]]</f>
        <v>65.52</v>
      </c>
    </row>
    <row r="970" spans="1:7" ht="21" customHeight="1" x14ac:dyDescent="0.3">
      <c r="A970" s="3" t="s">
        <v>81</v>
      </c>
      <c r="B970" s="3" t="str">
        <f>TEXT(Table1[[#This Row],[Date]], "YYYY-mm")</f>
        <v>2024-09</v>
      </c>
      <c r="C970" s="4" t="s">
        <v>27</v>
      </c>
      <c r="D970" s="4" t="s">
        <v>8</v>
      </c>
      <c r="E970" s="4">
        <v>2</v>
      </c>
      <c r="F970" s="4">
        <v>215.91</v>
      </c>
      <c r="G970" s="9">
        <f>Table1[[#This Row],[Quantity]]*Table1[[#This Row],[Price]]</f>
        <v>431.82</v>
      </c>
    </row>
    <row r="971" spans="1:7" ht="21" customHeight="1" x14ac:dyDescent="0.3">
      <c r="A971" s="1" t="s">
        <v>221</v>
      </c>
      <c r="B971" s="1" t="str">
        <f>TEXT(Table1[[#This Row],[Date]], "YYYY-mm")</f>
        <v>2024-10</v>
      </c>
      <c r="C971" s="2" t="s">
        <v>27</v>
      </c>
      <c r="D971" s="2" t="s">
        <v>8</v>
      </c>
      <c r="E971" s="2">
        <v>1</v>
      </c>
      <c r="F971" s="2">
        <v>174.4</v>
      </c>
      <c r="G971" s="8">
        <f>Table1[[#This Row],[Quantity]]*Table1[[#This Row],[Price]]</f>
        <v>174.4</v>
      </c>
    </row>
    <row r="972" spans="1:7" ht="21" customHeight="1" x14ac:dyDescent="0.3">
      <c r="A972" s="3" t="s">
        <v>93</v>
      </c>
      <c r="B972" s="3" t="str">
        <f>TEXT(Table1[[#This Row],[Date]], "YYYY-mm")</f>
        <v>2024-08</v>
      </c>
      <c r="C972" s="4" t="s">
        <v>39</v>
      </c>
      <c r="D972" s="4" t="s">
        <v>8</v>
      </c>
      <c r="E972" s="4">
        <v>7</v>
      </c>
      <c r="F972" s="4">
        <v>6.15</v>
      </c>
      <c r="G972" s="9">
        <f>Table1[[#This Row],[Quantity]]*Table1[[#This Row],[Price]]</f>
        <v>43.050000000000004</v>
      </c>
    </row>
    <row r="973" spans="1:7" ht="21" customHeight="1" x14ac:dyDescent="0.3">
      <c r="A973" s="1" t="s">
        <v>75</v>
      </c>
      <c r="B973" s="1" t="str">
        <f>TEXT(Table1[[#This Row],[Date]], "YYYY-mm")</f>
        <v>2024-07</v>
      </c>
      <c r="C973" s="2" t="s">
        <v>44</v>
      </c>
      <c r="D973" s="2" t="s">
        <v>8</v>
      </c>
      <c r="E973" s="2">
        <v>3</v>
      </c>
      <c r="F973" s="2">
        <v>10.23</v>
      </c>
      <c r="G973" s="8">
        <f>Table1[[#This Row],[Quantity]]*Table1[[#This Row],[Price]]</f>
        <v>30.69</v>
      </c>
    </row>
    <row r="974" spans="1:7" ht="21" customHeight="1" x14ac:dyDescent="0.3">
      <c r="A974" s="3" t="s">
        <v>361</v>
      </c>
      <c r="B974" s="3" t="str">
        <f>TEXT(Table1[[#This Row],[Date]], "YYYY-mm")</f>
        <v>2024-04</v>
      </c>
      <c r="C974" s="4" t="s">
        <v>39</v>
      </c>
      <c r="D974" s="4" t="s">
        <v>8</v>
      </c>
      <c r="E974" s="4">
        <v>11</v>
      </c>
      <c r="F974" s="4">
        <v>3.81</v>
      </c>
      <c r="G974" s="9">
        <f>Table1[[#This Row],[Quantity]]*Table1[[#This Row],[Price]]</f>
        <v>41.910000000000004</v>
      </c>
    </row>
    <row r="975" spans="1:7" ht="21" customHeight="1" x14ac:dyDescent="0.3">
      <c r="A975" s="1" t="s">
        <v>158</v>
      </c>
      <c r="B975" s="1" t="str">
        <f>TEXT(Table1[[#This Row],[Date]], "YYYY-mm")</f>
        <v>2024-12</v>
      </c>
      <c r="C975" s="2" t="s">
        <v>10</v>
      </c>
      <c r="D975" s="2" t="s">
        <v>8</v>
      </c>
      <c r="E975" s="2">
        <v>7</v>
      </c>
      <c r="F975" s="2">
        <v>97.57</v>
      </c>
      <c r="G975" s="8">
        <f>Table1[[#This Row],[Quantity]]*Table1[[#This Row],[Price]]</f>
        <v>682.99</v>
      </c>
    </row>
    <row r="976" spans="1:7" ht="21" customHeight="1" x14ac:dyDescent="0.3">
      <c r="A976" s="3" t="s">
        <v>244</v>
      </c>
      <c r="B976" s="3" t="str">
        <f>TEXT(Table1[[#This Row],[Date]], "YYYY-mm")</f>
        <v>2024-05</v>
      </c>
      <c r="C976" s="4" t="s">
        <v>39</v>
      </c>
      <c r="D976" s="4" t="s">
        <v>8</v>
      </c>
      <c r="E976" s="4">
        <v>8</v>
      </c>
      <c r="F976" s="4">
        <v>6.61</v>
      </c>
      <c r="G976" s="9">
        <f>Table1[[#This Row],[Quantity]]*Table1[[#This Row],[Price]]</f>
        <v>52.88</v>
      </c>
    </row>
    <row r="977" spans="1:7" ht="21" customHeight="1" x14ac:dyDescent="0.3">
      <c r="A977" s="1" t="s">
        <v>119</v>
      </c>
      <c r="B977" s="1" t="str">
        <f>TEXT(Table1[[#This Row],[Date]], "YYYY-mm")</f>
        <v>2024-08</v>
      </c>
      <c r="C977" s="2" t="s">
        <v>22</v>
      </c>
      <c r="D977" s="2" t="s">
        <v>13</v>
      </c>
      <c r="E977" s="2">
        <v>8</v>
      </c>
      <c r="F977" s="2">
        <v>1115.74</v>
      </c>
      <c r="G977" s="8">
        <f>Table1[[#This Row],[Quantity]]*Table1[[#This Row],[Price]]</f>
        <v>8925.92</v>
      </c>
    </row>
    <row r="978" spans="1:7" ht="21" customHeight="1" x14ac:dyDescent="0.3">
      <c r="A978" s="3" t="s">
        <v>35</v>
      </c>
      <c r="B978" s="3" t="str">
        <f>TEXT(Table1[[#This Row],[Date]], "YYYY-mm")</f>
        <v>2024-08</v>
      </c>
      <c r="C978" s="4" t="s">
        <v>44</v>
      </c>
      <c r="D978" s="4" t="s">
        <v>8</v>
      </c>
      <c r="E978" s="4">
        <v>14</v>
      </c>
      <c r="F978" s="4">
        <v>10.7</v>
      </c>
      <c r="G978" s="9">
        <f>Table1[[#This Row],[Quantity]]*Table1[[#This Row],[Price]]</f>
        <v>149.79999999999998</v>
      </c>
    </row>
    <row r="979" spans="1:7" ht="21" customHeight="1" x14ac:dyDescent="0.3">
      <c r="A979" s="1" t="s">
        <v>74</v>
      </c>
      <c r="B979" s="1" t="str">
        <f>TEXT(Table1[[#This Row],[Date]], "YYYY-mm")</f>
        <v>2024-03</v>
      </c>
      <c r="C979" s="2" t="s">
        <v>22</v>
      </c>
      <c r="D979" s="2" t="s">
        <v>13</v>
      </c>
      <c r="E979" s="2">
        <v>6</v>
      </c>
      <c r="F979" s="2">
        <v>1779.39</v>
      </c>
      <c r="G979" s="8">
        <f>Table1[[#This Row],[Quantity]]*Table1[[#This Row],[Price]]</f>
        <v>10676.34</v>
      </c>
    </row>
    <row r="980" spans="1:7" ht="21" customHeight="1" x14ac:dyDescent="0.3">
      <c r="A980" s="3" t="s">
        <v>142</v>
      </c>
      <c r="B980" s="3" t="str">
        <f>TEXT(Table1[[#This Row],[Date]], "YYYY-mm")</f>
        <v>2024-03</v>
      </c>
      <c r="C980" s="4" t="s">
        <v>22</v>
      </c>
      <c r="D980" s="4" t="s">
        <v>13</v>
      </c>
      <c r="E980" s="4">
        <v>10</v>
      </c>
      <c r="F980" s="4">
        <v>688.72</v>
      </c>
      <c r="G980" s="9">
        <f>Table1[[#This Row],[Quantity]]*Table1[[#This Row],[Price]]</f>
        <v>6887.2000000000007</v>
      </c>
    </row>
    <row r="981" spans="1:7" ht="21" customHeight="1" x14ac:dyDescent="0.3">
      <c r="A981" s="1" t="s">
        <v>278</v>
      </c>
      <c r="B981" s="1" t="str">
        <f>TEXT(Table1[[#This Row],[Date]], "YYYY-mm")</f>
        <v>2024-08</v>
      </c>
      <c r="C981" s="2" t="s">
        <v>25</v>
      </c>
      <c r="D981" s="2" t="s">
        <v>19</v>
      </c>
      <c r="E981" s="2">
        <v>3</v>
      </c>
      <c r="F981" s="2">
        <v>620.53</v>
      </c>
      <c r="G981" s="8">
        <f>Table1[[#This Row],[Quantity]]*Table1[[#This Row],[Price]]</f>
        <v>1861.59</v>
      </c>
    </row>
    <row r="982" spans="1:7" ht="21" customHeight="1" x14ac:dyDescent="0.3">
      <c r="A982" s="3" t="s">
        <v>36</v>
      </c>
      <c r="B982" s="3" t="str">
        <f>TEXT(Table1[[#This Row],[Date]], "YYYY-mm")</f>
        <v>2024-08</v>
      </c>
      <c r="C982" s="4" t="s">
        <v>22</v>
      </c>
      <c r="D982" s="4" t="s">
        <v>13</v>
      </c>
      <c r="E982" s="4">
        <v>9</v>
      </c>
      <c r="F982" s="4">
        <v>511.49</v>
      </c>
      <c r="G982" s="9">
        <f>Table1[[#This Row],[Quantity]]*Table1[[#This Row],[Price]]</f>
        <v>4603.41</v>
      </c>
    </row>
    <row r="983" spans="1:7" ht="21" customHeight="1" x14ac:dyDescent="0.3">
      <c r="A983" s="1" t="s">
        <v>222</v>
      </c>
      <c r="B983" s="1" t="str">
        <f>TEXT(Table1[[#This Row],[Date]], "YYYY-mm")</f>
        <v>2024-06</v>
      </c>
      <c r="C983" s="2" t="s">
        <v>7</v>
      </c>
      <c r="D983" s="2" t="s">
        <v>8</v>
      </c>
      <c r="E983" s="2">
        <v>12</v>
      </c>
      <c r="F983" s="2">
        <v>74.41</v>
      </c>
      <c r="G983" s="8">
        <f>Table1[[#This Row],[Quantity]]*Table1[[#This Row],[Price]]</f>
        <v>892.92</v>
      </c>
    </row>
    <row r="984" spans="1:7" ht="21" customHeight="1" x14ac:dyDescent="0.3">
      <c r="A984" s="3" t="s">
        <v>299</v>
      </c>
      <c r="B984" s="3" t="str">
        <f>TEXT(Table1[[#This Row],[Date]], "YYYY-mm")</f>
        <v>2024-11</v>
      </c>
      <c r="C984" s="4" t="s">
        <v>29</v>
      </c>
      <c r="D984" s="4" t="s">
        <v>19</v>
      </c>
      <c r="E984" s="4">
        <v>2</v>
      </c>
      <c r="F984" s="4">
        <v>841.14</v>
      </c>
      <c r="G984" s="9">
        <f>Table1[[#This Row],[Quantity]]*Table1[[#This Row],[Price]]</f>
        <v>1682.28</v>
      </c>
    </row>
    <row r="985" spans="1:7" ht="21" customHeight="1" x14ac:dyDescent="0.3">
      <c r="A985" s="1" t="s">
        <v>95</v>
      </c>
      <c r="B985" s="1" t="str">
        <f>TEXT(Table1[[#This Row],[Date]], "YYYY-mm")</f>
        <v>2024-03</v>
      </c>
      <c r="C985" s="2" t="s">
        <v>15</v>
      </c>
      <c r="D985" s="2" t="s">
        <v>8</v>
      </c>
      <c r="E985" s="2">
        <v>2</v>
      </c>
      <c r="F985" s="2">
        <v>4.7699999999999996</v>
      </c>
      <c r="G985" s="8">
        <f>Table1[[#This Row],[Quantity]]*Table1[[#This Row],[Price]]</f>
        <v>9.5399999999999991</v>
      </c>
    </row>
    <row r="986" spans="1:7" ht="21" customHeight="1" x14ac:dyDescent="0.3">
      <c r="A986" s="3" t="s">
        <v>80</v>
      </c>
      <c r="B986" s="3" t="str">
        <f>TEXT(Table1[[#This Row],[Date]], "YYYY-mm")</f>
        <v>2024-01</v>
      </c>
      <c r="C986" s="4" t="s">
        <v>29</v>
      </c>
      <c r="D986" s="4" t="s">
        <v>19</v>
      </c>
      <c r="E986" s="4">
        <v>12</v>
      </c>
      <c r="F986" s="4">
        <v>1390.09</v>
      </c>
      <c r="G986" s="9">
        <f>Table1[[#This Row],[Quantity]]*Table1[[#This Row],[Price]]</f>
        <v>16681.079999999998</v>
      </c>
    </row>
    <row r="987" spans="1:7" ht="21" customHeight="1" x14ac:dyDescent="0.3">
      <c r="A987" s="1" t="s">
        <v>219</v>
      </c>
      <c r="B987" s="1" t="str">
        <f>TEXT(Table1[[#This Row],[Date]], "YYYY-mm")</f>
        <v>2024-04</v>
      </c>
      <c r="C987" s="2" t="s">
        <v>27</v>
      </c>
      <c r="D987" s="2" t="s">
        <v>8</v>
      </c>
      <c r="E987" s="2">
        <v>1</v>
      </c>
      <c r="F987" s="2">
        <v>123.64</v>
      </c>
      <c r="G987" s="8">
        <f>Table1[[#This Row],[Quantity]]*Table1[[#This Row],[Price]]</f>
        <v>123.64</v>
      </c>
    </row>
    <row r="988" spans="1:7" ht="21" customHeight="1" x14ac:dyDescent="0.3">
      <c r="A988" s="3" t="s">
        <v>218</v>
      </c>
      <c r="B988" s="3" t="str">
        <f>TEXT(Table1[[#This Row],[Date]], "YYYY-mm")</f>
        <v>2024-08</v>
      </c>
      <c r="C988" s="4" t="s">
        <v>44</v>
      </c>
      <c r="D988" s="4" t="s">
        <v>8</v>
      </c>
      <c r="E988" s="4">
        <v>11</v>
      </c>
      <c r="F988" s="4">
        <v>8.6300000000000008</v>
      </c>
      <c r="G988" s="9">
        <f>Table1[[#This Row],[Quantity]]*Table1[[#This Row],[Price]]</f>
        <v>94.93</v>
      </c>
    </row>
    <row r="989" spans="1:7" ht="21" customHeight="1" x14ac:dyDescent="0.3">
      <c r="A989" s="1" t="s">
        <v>292</v>
      </c>
      <c r="B989" s="1" t="str">
        <f>TEXT(Table1[[#This Row],[Date]], "YYYY-mm")</f>
        <v>2024-06</v>
      </c>
      <c r="C989" s="2" t="s">
        <v>10</v>
      </c>
      <c r="D989" s="2" t="s">
        <v>8</v>
      </c>
      <c r="E989" s="2">
        <v>13</v>
      </c>
      <c r="F989" s="2">
        <v>49.47</v>
      </c>
      <c r="G989" s="8">
        <f>Table1[[#This Row],[Quantity]]*Table1[[#This Row],[Price]]</f>
        <v>643.11</v>
      </c>
    </row>
    <row r="990" spans="1:7" ht="21" customHeight="1" x14ac:dyDescent="0.3">
      <c r="A990" s="3" t="s">
        <v>20</v>
      </c>
      <c r="B990" s="3" t="str">
        <f>TEXT(Table1[[#This Row],[Date]], "YYYY-mm")</f>
        <v>2024-10</v>
      </c>
      <c r="C990" s="4" t="s">
        <v>29</v>
      </c>
      <c r="D990" s="4" t="s">
        <v>19</v>
      </c>
      <c r="E990" s="4">
        <v>6</v>
      </c>
      <c r="F990" s="4">
        <v>1884.76</v>
      </c>
      <c r="G990" s="9">
        <f>Table1[[#This Row],[Quantity]]*Table1[[#This Row],[Price]]</f>
        <v>11308.56</v>
      </c>
    </row>
    <row r="991" spans="1:7" ht="21" customHeight="1" x14ac:dyDescent="0.3">
      <c r="A991" s="1" t="s">
        <v>14</v>
      </c>
      <c r="B991" s="1" t="str">
        <f>TEXT(Table1[[#This Row],[Date]], "YYYY-mm")</f>
        <v>2024-05</v>
      </c>
      <c r="C991" s="2" t="s">
        <v>25</v>
      </c>
      <c r="D991" s="2" t="s">
        <v>19</v>
      </c>
      <c r="E991" s="2">
        <v>4</v>
      </c>
      <c r="F991" s="2">
        <v>1084.67</v>
      </c>
      <c r="G991" s="8">
        <f>Table1[[#This Row],[Quantity]]*Table1[[#This Row],[Price]]</f>
        <v>4338.68</v>
      </c>
    </row>
    <row r="992" spans="1:7" ht="21" customHeight="1" x14ac:dyDescent="0.3">
      <c r="A992" s="3" t="s">
        <v>135</v>
      </c>
      <c r="B992" s="3" t="str">
        <f>TEXT(Table1[[#This Row],[Date]], "YYYY-mm")</f>
        <v>2024-04</v>
      </c>
      <c r="C992" s="4" t="s">
        <v>12</v>
      </c>
      <c r="D992" s="4" t="s">
        <v>13</v>
      </c>
      <c r="E992" s="4">
        <v>14</v>
      </c>
      <c r="F992" s="4">
        <v>409.73</v>
      </c>
      <c r="G992" s="9">
        <f>Table1[[#This Row],[Quantity]]*Table1[[#This Row],[Price]]</f>
        <v>5736.22</v>
      </c>
    </row>
    <row r="993" spans="1:7" ht="21" customHeight="1" x14ac:dyDescent="0.3">
      <c r="A993" s="1" t="s">
        <v>217</v>
      </c>
      <c r="B993" s="1" t="str">
        <f>TEXT(Table1[[#This Row],[Date]], "YYYY-mm")</f>
        <v>2024-12</v>
      </c>
      <c r="C993" s="2" t="s">
        <v>29</v>
      </c>
      <c r="D993" s="2" t="s">
        <v>19</v>
      </c>
      <c r="E993" s="2">
        <v>4</v>
      </c>
      <c r="F993" s="2">
        <v>883.09</v>
      </c>
      <c r="G993" s="8">
        <f>Table1[[#This Row],[Quantity]]*Table1[[#This Row],[Price]]</f>
        <v>3532.36</v>
      </c>
    </row>
    <row r="994" spans="1:7" ht="21" customHeight="1" x14ac:dyDescent="0.3">
      <c r="A994" s="3" t="s">
        <v>263</v>
      </c>
      <c r="B994" s="3" t="str">
        <f>TEXT(Table1[[#This Row],[Date]], "YYYY-mm")</f>
        <v>2024-10</v>
      </c>
      <c r="C994" s="4" t="s">
        <v>39</v>
      </c>
      <c r="D994" s="4" t="s">
        <v>8</v>
      </c>
      <c r="E994" s="4">
        <v>15</v>
      </c>
      <c r="F994" s="4">
        <v>5.48</v>
      </c>
      <c r="G994" s="9">
        <f>Table1[[#This Row],[Quantity]]*Table1[[#This Row],[Price]]</f>
        <v>82.2</v>
      </c>
    </row>
    <row r="995" spans="1:7" ht="21" customHeight="1" x14ac:dyDescent="0.3">
      <c r="A995" s="1" t="s">
        <v>226</v>
      </c>
      <c r="B995" s="1" t="str">
        <f>TEXT(Table1[[#This Row],[Date]], "YYYY-mm")</f>
        <v>2024-07</v>
      </c>
      <c r="C995" s="2" t="s">
        <v>12</v>
      </c>
      <c r="D995" s="2" t="s">
        <v>13</v>
      </c>
      <c r="E995" s="2">
        <v>1</v>
      </c>
      <c r="F995" s="2">
        <v>552.82000000000005</v>
      </c>
      <c r="G995" s="8">
        <f>Table1[[#This Row],[Quantity]]*Table1[[#This Row],[Price]]</f>
        <v>552.82000000000005</v>
      </c>
    </row>
    <row r="996" spans="1:7" ht="21" customHeight="1" x14ac:dyDescent="0.3">
      <c r="A996" s="3" t="s">
        <v>111</v>
      </c>
      <c r="B996" s="3" t="str">
        <f>TEXT(Table1[[#This Row],[Date]], "YYYY-mm")</f>
        <v>2024-11</v>
      </c>
      <c r="C996" s="4" t="s">
        <v>29</v>
      </c>
      <c r="D996" s="4" t="s">
        <v>19</v>
      </c>
      <c r="E996" s="4">
        <v>14</v>
      </c>
      <c r="F996" s="4">
        <v>2102.52</v>
      </c>
      <c r="G996" s="9">
        <f>Table1[[#This Row],[Quantity]]*Table1[[#This Row],[Price]]</f>
        <v>29435.279999999999</v>
      </c>
    </row>
    <row r="997" spans="1:7" ht="21" customHeight="1" x14ac:dyDescent="0.3">
      <c r="A997" s="1" t="s">
        <v>100</v>
      </c>
      <c r="B997" s="1" t="str">
        <f>TEXT(Table1[[#This Row],[Date]], "YYYY-mm")</f>
        <v>2024-05</v>
      </c>
      <c r="C997" s="2" t="s">
        <v>27</v>
      </c>
      <c r="D997" s="2" t="s">
        <v>8</v>
      </c>
      <c r="E997" s="2">
        <v>12</v>
      </c>
      <c r="F997" s="2">
        <v>180.56</v>
      </c>
      <c r="G997" s="8">
        <f>Table1[[#This Row],[Quantity]]*Table1[[#This Row],[Price]]</f>
        <v>2166.7200000000003</v>
      </c>
    </row>
    <row r="998" spans="1:7" ht="21" customHeight="1" x14ac:dyDescent="0.3">
      <c r="A998" s="3" t="s">
        <v>325</v>
      </c>
      <c r="B998" s="3" t="str">
        <f>TEXT(Table1[[#This Row],[Date]], "YYYY-mm")</f>
        <v>2024-04</v>
      </c>
      <c r="C998" s="4" t="s">
        <v>10</v>
      </c>
      <c r="D998" s="4" t="s">
        <v>8</v>
      </c>
      <c r="E998" s="4">
        <v>6</v>
      </c>
      <c r="F998" s="4">
        <v>118.25</v>
      </c>
      <c r="G998" s="9">
        <f>Table1[[#This Row],[Quantity]]*Table1[[#This Row],[Price]]</f>
        <v>709.5</v>
      </c>
    </row>
    <row r="999" spans="1:7" ht="21" customHeight="1" x14ac:dyDescent="0.3">
      <c r="A999" s="1" t="s">
        <v>194</v>
      </c>
      <c r="B999" s="1" t="str">
        <f>TEXT(Table1[[#This Row],[Date]], "YYYY-mm")</f>
        <v>2024-02</v>
      </c>
      <c r="C999" s="2" t="s">
        <v>27</v>
      </c>
      <c r="D999" s="2" t="s">
        <v>8</v>
      </c>
      <c r="E999" s="2">
        <v>3</v>
      </c>
      <c r="F999" s="2">
        <v>193.09</v>
      </c>
      <c r="G999" s="8">
        <f>Table1[[#This Row],[Quantity]]*Table1[[#This Row],[Price]]</f>
        <v>579.27</v>
      </c>
    </row>
    <row r="1000" spans="1:7" ht="21" customHeight="1" x14ac:dyDescent="0.3">
      <c r="A1000" s="3" t="s">
        <v>177</v>
      </c>
      <c r="B1000" s="3" t="str">
        <f>TEXT(Table1[[#This Row],[Date]], "YYYY-mm")</f>
        <v>2024-09</v>
      </c>
      <c r="C1000" s="4" t="s">
        <v>25</v>
      </c>
      <c r="D1000" s="4" t="s">
        <v>19</v>
      </c>
      <c r="E1000" s="4">
        <v>1</v>
      </c>
      <c r="F1000" s="4">
        <v>762.6</v>
      </c>
      <c r="G1000" s="9">
        <f>Table1[[#This Row],[Quantity]]*Table1[[#This Row],[Price]]</f>
        <v>762.6</v>
      </c>
    </row>
    <row r="1001" spans="1:7" ht="21" customHeight="1" x14ac:dyDescent="0.3">
      <c r="A1001" s="1" t="s">
        <v>311</v>
      </c>
      <c r="B1001" s="1" t="str">
        <f>TEXT(Table1[[#This Row],[Date]], "YYYY-mm")</f>
        <v>2024-11</v>
      </c>
      <c r="C1001" s="2" t="s">
        <v>39</v>
      </c>
      <c r="D1001" s="2" t="s">
        <v>8</v>
      </c>
      <c r="E1001" s="2">
        <v>9</v>
      </c>
      <c r="F1001" s="2">
        <v>7.54</v>
      </c>
      <c r="G1001" s="8">
        <f>Table1[[#This Row],[Quantity]]*Table1[[#This Row],[Price]]</f>
        <v>67.86</v>
      </c>
    </row>
    <row r="1002" spans="1:7" ht="21" customHeight="1" x14ac:dyDescent="0.3">
      <c r="A1002" s="3" t="s">
        <v>211</v>
      </c>
      <c r="B1002" s="3" t="str">
        <f>TEXT(Table1[[#This Row],[Date]], "YYYY-mm")</f>
        <v>2024-11</v>
      </c>
      <c r="C1002" s="4" t="s">
        <v>18</v>
      </c>
      <c r="D1002" s="4" t="s">
        <v>19</v>
      </c>
      <c r="E1002" s="4">
        <v>3</v>
      </c>
      <c r="F1002" s="4">
        <v>855.04</v>
      </c>
      <c r="G1002" s="9">
        <f>Table1[[#This Row],[Quantity]]*Table1[[#This Row],[Price]]</f>
        <v>2565.12</v>
      </c>
    </row>
    <row r="1003" spans="1:7" ht="21" customHeight="1" x14ac:dyDescent="0.3">
      <c r="A1003" s="1" t="s">
        <v>90</v>
      </c>
      <c r="B1003" s="1" t="str">
        <f>TEXT(Table1[[#This Row],[Date]], "YYYY-mm")</f>
        <v>2024-07</v>
      </c>
      <c r="C1003" s="2" t="s">
        <v>44</v>
      </c>
      <c r="D1003" s="2" t="s">
        <v>8</v>
      </c>
      <c r="E1003" s="2">
        <v>4</v>
      </c>
      <c r="F1003" s="2">
        <v>8.02</v>
      </c>
      <c r="G1003" s="8">
        <f>Table1[[#This Row],[Quantity]]*Table1[[#This Row],[Price]]</f>
        <v>32.08</v>
      </c>
    </row>
    <row r="1004" spans="1:7" ht="21" customHeight="1" x14ac:dyDescent="0.3">
      <c r="A1004" s="3" t="s">
        <v>324</v>
      </c>
      <c r="B1004" s="3" t="str">
        <f>TEXT(Table1[[#This Row],[Date]], "YYYY-mm")</f>
        <v>2024-11</v>
      </c>
      <c r="C1004" s="4" t="s">
        <v>44</v>
      </c>
      <c r="D1004" s="4" t="s">
        <v>8</v>
      </c>
      <c r="E1004" s="4">
        <v>4</v>
      </c>
      <c r="F1004" s="4">
        <v>6.14</v>
      </c>
      <c r="G1004" s="9">
        <f>Table1[[#This Row],[Quantity]]*Table1[[#This Row],[Price]]</f>
        <v>24.56</v>
      </c>
    </row>
    <row r="1005" spans="1:7" ht="21" customHeight="1" x14ac:dyDescent="0.3">
      <c r="A1005" s="1" t="s">
        <v>78</v>
      </c>
      <c r="B1005" s="1" t="str">
        <f>TEXT(Table1[[#This Row],[Date]], "YYYY-mm")</f>
        <v>2024-04</v>
      </c>
      <c r="C1005" s="2" t="s">
        <v>15</v>
      </c>
      <c r="D1005" s="2" t="s">
        <v>8</v>
      </c>
      <c r="E1005" s="2">
        <v>9</v>
      </c>
      <c r="F1005" s="2">
        <v>5.2</v>
      </c>
      <c r="G1005" s="8">
        <f>Table1[[#This Row],[Quantity]]*Table1[[#This Row],[Price]]</f>
        <v>46.800000000000004</v>
      </c>
    </row>
    <row r="1006" spans="1:7" ht="21" customHeight="1" x14ac:dyDescent="0.3">
      <c r="A1006" s="3" t="s">
        <v>28</v>
      </c>
      <c r="B1006" s="3" t="str">
        <f>TEXT(Table1[[#This Row],[Date]], "YYYY-mm")</f>
        <v>2024-02</v>
      </c>
      <c r="C1006" s="4" t="s">
        <v>10</v>
      </c>
      <c r="D1006" s="4" t="s">
        <v>8</v>
      </c>
      <c r="E1006" s="4">
        <v>3</v>
      </c>
      <c r="F1006" s="4">
        <v>114.31</v>
      </c>
      <c r="G1006" s="9">
        <f>Table1[[#This Row],[Quantity]]*Table1[[#This Row],[Price]]</f>
        <v>342.93</v>
      </c>
    </row>
    <row r="1007" spans="1:7" ht="21" customHeight="1" x14ac:dyDescent="0.3">
      <c r="A1007" s="1" t="s">
        <v>324</v>
      </c>
      <c r="B1007" s="1" t="str">
        <f>TEXT(Table1[[#This Row],[Date]], "YYYY-mm")</f>
        <v>2024-11</v>
      </c>
      <c r="C1007" s="2" t="s">
        <v>44</v>
      </c>
      <c r="D1007" s="2" t="s">
        <v>8</v>
      </c>
      <c r="E1007" s="2">
        <v>2</v>
      </c>
      <c r="F1007" s="2">
        <v>11.25</v>
      </c>
      <c r="G1007" s="8">
        <f>Table1[[#This Row],[Quantity]]*Table1[[#This Row],[Price]]</f>
        <v>22.5</v>
      </c>
    </row>
    <row r="1008" spans="1:7" ht="21" customHeight="1" x14ac:dyDescent="0.3">
      <c r="A1008" s="3" t="s">
        <v>326</v>
      </c>
      <c r="B1008" s="3" t="str">
        <f>TEXT(Table1[[#This Row],[Date]], "YYYY-mm")</f>
        <v>2024-12</v>
      </c>
      <c r="C1008" s="4" t="s">
        <v>25</v>
      </c>
      <c r="D1008" s="4" t="s">
        <v>19</v>
      </c>
      <c r="E1008" s="4">
        <v>5</v>
      </c>
      <c r="F1008" s="4">
        <v>360.33</v>
      </c>
      <c r="G1008" s="9">
        <f>Table1[[#This Row],[Quantity]]*Table1[[#This Row],[Price]]</f>
        <v>1801.6499999999999</v>
      </c>
    </row>
    <row r="1009" spans="1:7" ht="21" customHeight="1" x14ac:dyDescent="0.3">
      <c r="A1009" s="1" t="s">
        <v>9</v>
      </c>
      <c r="B1009" s="1" t="str">
        <f>TEXT(Table1[[#This Row],[Date]], "YYYY-mm")</f>
        <v>2024-04</v>
      </c>
      <c r="C1009" s="2" t="s">
        <v>22</v>
      </c>
      <c r="D1009" s="2" t="s">
        <v>13</v>
      </c>
      <c r="E1009" s="2">
        <v>10</v>
      </c>
      <c r="F1009" s="2">
        <v>1051.49</v>
      </c>
      <c r="G1009" s="8">
        <f>Table1[[#This Row],[Quantity]]*Table1[[#This Row],[Price]]</f>
        <v>10514.9</v>
      </c>
    </row>
    <row r="1010" spans="1:7" ht="21" customHeight="1" x14ac:dyDescent="0.3">
      <c r="A1010" s="3" t="s">
        <v>28</v>
      </c>
      <c r="B1010" s="3" t="str">
        <f>TEXT(Table1[[#This Row],[Date]], "YYYY-mm")</f>
        <v>2024-02</v>
      </c>
      <c r="C1010" s="4" t="s">
        <v>29</v>
      </c>
      <c r="D1010" s="4" t="s">
        <v>19</v>
      </c>
      <c r="E1010" s="4">
        <v>14</v>
      </c>
      <c r="F1010" s="4">
        <v>569.27</v>
      </c>
      <c r="G1010" s="9">
        <f>Table1[[#This Row],[Quantity]]*Table1[[#This Row],[Price]]</f>
        <v>7969.78</v>
      </c>
    </row>
    <row r="1011" spans="1:7" ht="21" customHeight="1" x14ac:dyDescent="0.3">
      <c r="A1011" s="1" t="s">
        <v>194</v>
      </c>
      <c r="B1011" s="1" t="str">
        <f>TEXT(Table1[[#This Row],[Date]], "YYYY-mm")</f>
        <v>2024-02</v>
      </c>
      <c r="C1011" s="2" t="s">
        <v>29</v>
      </c>
      <c r="D1011" s="2" t="s">
        <v>19</v>
      </c>
      <c r="E1011" s="2">
        <v>6</v>
      </c>
      <c r="F1011" s="2">
        <v>1060.99</v>
      </c>
      <c r="G1011" s="8">
        <f>Table1[[#This Row],[Quantity]]*Table1[[#This Row],[Price]]</f>
        <v>6365.9400000000005</v>
      </c>
    </row>
    <row r="1012" spans="1:7" ht="21" customHeight="1" x14ac:dyDescent="0.3">
      <c r="A1012" s="3" t="s">
        <v>66</v>
      </c>
      <c r="B1012" s="3" t="str">
        <f>TEXT(Table1[[#This Row],[Date]], "YYYY-mm")</f>
        <v>2024-02</v>
      </c>
      <c r="C1012" s="4" t="s">
        <v>15</v>
      </c>
      <c r="D1012" s="4" t="s">
        <v>8</v>
      </c>
      <c r="E1012" s="4">
        <v>8</v>
      </c>
      <c r="F1012" s="4">
        <v>5.42</v>
      </c>
      <c r="G1012" s="9">
        <f>Table1[[#This Row],[Quantity]]*Table1[[#This Row],[Price]]</f>
        <v>43.36</v>
      </c>
    </row>
    <row r="1013" spans="1:7" ht="21" customHeight="1" x14ac:dyDescent="0.3">
      <c r="A1013" s="1" t="s">
        <v>339</v>
      </c>
      <c r="B1013" s="1" t="str">
        <f>TEXT(Table1[[#This Row],[Date]], "YYYY-mm")</f>
        <v>2024-06</v>
      </c>
      <c r="C1013" s="2" t="s">
        <v>29</v>
      </c>
      <c r="D1013" s="2" t="s">
        <v>19</v>
      </c>
      <c r="E1013" s="2">
        <v>15</v>
      </c>
      <c r="F1013" s="2">
        <v>861.1</v>
      </c>
      <c r="G1013" s="8">
        <f>Table1[[#This Row],[Quantity]]*Table1[[#This Row],[Price]]</f>
        <v>12916.5</v>
      </c>
    </row>
    <row r="1014" spans="1:7" ht="21" customHeight="1" x14ac:dyDescent="0.3">
      <c r="A1014" s="3" t="s">
        <v>278</v>
      </c>
      <c r="B1014" s="3" t="str">
        <f>TEXT(Table1[[#This Row],[Date]], "YYYY-mm")</f>
        <v>2024-08</v>
      </c>
      <c r="C1014" s="4" t="s">
        <v>12</v>
      </c>
      <c r="D1014" s="4" t="s">
        <v>13</v>
      </c>
      <c r="E1014" s="4">
        <v>5</v>
      </c>
      <c r="F1014" s="4">
        <v>557.73</v>
      </c>
      <c r="G1014" s="9">
        <f>Table1[[#This Row],[Quantity]]*Table1[[#This Row],[Price]]</f>
        <v>2788.65</v>
      </c>
    </row>
    <row r="1015" spans="1:7" ht="21" customHeight="1" x14ac:dyDescent="0.3">
      <c r="A1015" s="1" t="s">
        <v>335</v>
      </c>
      <c r="B1015" s="1" t="str">
        <f>TEXT(Table1[[#This Row],[Date]], "YYYY-mm")</f>
        <v>2024-04</v>
      </c>
      <c r="C1015" s="2" t="s">
        <v>7</v>
      </c>
      <c r="D1015" s="2" t="s">
        <v>8</v>
      </c>
      <c r="E1015" s="2">
        <v>8</v>
      </c>
      <c r="F1015" s="2">
        <v>52.01</v>
      </c>
      <c r="G1015" s="8">
        <f>Table1[[#This Row],[Quantity]]*Table1[[#This Row],[Price]]</f>
        <v>416.08</v>
      </c>
    </row>
    <row r="1016" spans="1:7" ht="21" customHeight="1" x14ac:dyDescent="0.3">
      <c r="A1016" s="3" t="s">
        <v>106</v>
      </c>
      <c r="B1016" s="3" t="str">
        <f>TEXT(Table1[[#This Row],[Date]], "YYYY-mm")</f>
        <v>2024-06</v>
      </c>
      <c r="C1016" s="4" t="s">
        <v>39</v>
      </c>
      <c r="D1016" s="4" t="s">
        <v>8</v>
      </c>
      <c r="E1016" s="4">
        <v>11</v>
      </c>
      <c r="F1016" s="4">
        <v>6.8</v>
      </c>
      <c r="G1016" s="9">
        <f>Table1[[#This Row],[Quantity]]*Table1[[#This Row],[Price]]</f>
        <v>74.8</v>
      </c>
    </row>
    <row r="1017" spans="1:7" ht="21" customHeight="1" x14ac:dyDescent="0.3">
      <c r="A1017" s="1" t="s">
        <v>123</v>
      </c>
      <c r="B1017" s="1" t="str">
        <f>TEXT(Table1[[#This Row],[Date]], "YYYY-mm")</f>
        <v>2024-03</v>
      </c>
      <c r="C1017" s="2" t="s">
        <v>22</v>
      </c>
      <c r="D1017" s="2" t="s">
        <v>13</v>
      </c>
      <c r="E1017" s="2">
        <v>11</v>
      </c>
      <c r="F1017" s="2">
        <v>704.59</v>
      </c>
      <c r="G1017" s="8">
        <f>Table1[[#This Row],[Quantity]]*Table1[[#This Row],[Price]]</f>
        <v>7750.4900000000007</v>
      </c>
    </row>
    <row r="1018" spans="1:7" ht="21" customHeight="1" x14ac:dyDescent="0.3">
      <c r="A1018" s="3" t="s">
        <v>182</v>
      </c>
      <c r="B1018" s="3" t="str">
        <f>TEXT(Table1[[#This Row],[Date]], "YYYY-mm")</f>
        <v>2024-12</v>
      </c>
      <c r="C1018" s="4" t="s">
        <v>18</v>
      </c>
      <c r="D1018" s="4" t="s">
        <v>19</v>
      </c>
      <c r="E1018" s="4">
        <v>1</v>
      </c>
      <c r="F1018" s="4">
        <v>1263.22</v>
      </c>
      <c r="G1018" s="9">
        <f>Table1[[#This Row],[Quantity]]*Table1[[#This Row],[Price]]</f>
        <v>1263.22</v>
      </c>
    </row>
    <row r="1019" spans="1:7" ht="21" customHeight="1" x14ac:dyDescent="0.3">
      <c r="A1019" s="1" t="s">
        <v>36</v>
      </c>
      <c r="B1019" s="1" t="str">
        <f>TEXT(Table1[[#This Row],[Date]], "YYYY-mm")</f>
        <v>2024-08</v>
      </c>
      <c r="C1019" s="2" t="s">
        <v>15</v>
      </c>
      <c r="D1019" s="2" t="s">
        <v>8</v>
      </c>
      <c r="E1019" s="2">
        <v>7</v>
      </c>
      <c r="F1019" s="2">
        <v>4.12</v>
      </c>
      <c r="G1019" s="8">
        <f>Table1[[#This Row],[Quantity]]*Table1[[#This Row],[Price]]</f>
        <v>28.84</v>
      </c>
    </row>
    <row r="1020" spans="1:7" ht="21" customHeight="1" x14ac:dyDescent="0.3">
      <c r="A1020" s="3" t="s">
        <v>97</v>
      </c>
      <c r="B1020" s="3" t="str">
        <f>TEXT(Table1[[#This Row],[Date]], "YYYY-mm")</f>
        <v>2024-05</v>
      </c>
      <c r="C1020" s="4" t="s">
        <v>44</v>
      </c>
      <c r="D1020" s="4" t="s">
        <v>8</v>
      </c>
      <c r="E1020" s="4">
        <v>4</v>
      </c>
      <c r="F1020" s="4">
        <v>19.600000000000001</v>
      </c>
      <c r="G1020" s="9">
        <f>Table1[[#This Row],[Quantity]]*Table1[[#This Row],[Price]]</f>
        <v>78.400000000000006</v>
      </c>
    </row>
    <row r="1021" spans="1:7" ht="21" customHeight="1" x14ac:dyDescent="0.3">
      <c r="A1021" s="1" t="s">
        <v>174</v>
      </c>
      <c r="B1021" s="1" t="str">
        <f>TEXT(Table1[[#This Row],[Date]], "YYYY-mm")</f>
        <v>2024-10</v>
      </c>
      <c r="C1021" s="2" t="s">
        <v>22</v>
      </c>
      <c r="D1021" s="2" t="s">
        <v>13</v>
      </c>
      <c r="E1021" s="2">
        <v>2</v>
      </c>
      <c r="F1021" s="2">
        <v>747.25</v>
      </c>
      <c r="G1021" s="8">
        <f>Table1[[#This Row],[Quantity]]*Table1[[#This Row],[Price]]</f>
        <v>1494.5</v>
      </c>
    </row>
    <row r="1022" spans="1:7" ht="21" customHeight="1" x14ac:dyDescent="0.3">
      <c r="A1022" s="3" t="s">
        <v>131</v>
      </c>
      <c r="B1022" s="3" t="str">
        <f>TEXT(Table1[[#This Row],[Date]], "YYYY-mm")</f>
        <v>2024-02</v>
      </c>
      <c r="C1022" s="4" t="s">
        <v>34</v>
      </c>
      <c r="D1022" s="4" t="s">
        <v>19</v>
      </c>
      <c r="E1022" s="4">
        <v>7</v>
      </c>
      <c r="F1022" s="4">
        <v>1196.1400000000001</v>
      </c>
      <c r="G1022" s="9">
        <f>Table1[[#This Row],[Quantity]]*Table1[[#This Row],[Price]]</f>
        <v>8372.9800000000014</v>
      </c>
    </row>
    <row r="1023" spans="1:7" ht="21" customHeight="1" x14ac:dyDescent="0.3">
      <c r="A1023" s="1" t="s">
        <v>150</v>
      </c>
      <c r="B1023" s="1" t="str">
        <f>TEXT(Table1[[#This Row],[Date]], "YYYY-mm")</f>
        <v>2024-11</v>
      </c>
      <c r="C1023" s="2" t="s">
        <v>15</v>
      </c>
      <c r="D1023" s="2" t="s">
        <v>8</v>
      </c>
      <c r="E1023" s="2">
        <v>12</v>
      </c>
      <c r="F1023" s="2">
        <v>8.6</v>
      </c>
      <c r="G1023" s="8">
        <f>Table1[[#This Row],[Quantity]]*Table1[[#This Row],[Price]]</f>
        <v>103.19999999999999</v>
      </c>
    </row>
    <row r="1024" spans="1:7" ht="21" customHeight="1" x14ac:dyDescent="0.3">
      <c r="A1024" s="3" t="s">
        <v>149</v>
      </c>
      <c r="B1024" s="3" t="str">
        <f>TEXT(Table1[[#This Row],[Date]], "YYYY-mm")</f>
        <v>2024-08</v>
      </c>
      <c r="C1024" s="4" t="s">
        <v>18</v>
      </c>
      <c r="D1024" s="4" t="s">
        <v>19</v>
      </c>
      <c r="E1024" s="4">
        <v>8</v>
      </c>
      <c r="F1024" s="4">
        <v>768.5</v>
      </c>
      <c r="G1024" s="9">
        <f>Table1[[#This Row],[Quantity]]*Table1[[#This Row],[Price]]</f>
        <v>6148</v>
      </c>
    </row>
    <row r="1025" spans="1:7" ht="21" customHeight="1" x14ac:dyDescent="0.3">
      <c r="A1025" s="1" t="s">
        <v>223</v>
      </c>
      <c r="B1025" s="1" t="str">
        <f>TEXT(Table1[[#This Row],[Date]], "YYYY-mm")</f>
        <v>2024-07</v>
      </c>
      <c r="C1025" s="2" t="s">
        <v>22</v>
      </c>
      <c r="D1025" s="2" t="s">
        <v>13</v>
      </c>
      <c r="E1025" s="2">
        <v>7</v>
      </c>
      <c r="F1025" s="2">
        <v>1642.53</v>
      </c>
      <c r="G1025" s="8">
        <f>Table1[[#This Row],[Quantity]]*Table1[[#This Row],[Price]]</f>
        <v>11497.71</v>
      </c>
    </row>
    <row r="1026" spans="1:7" ht="21" customHeight="1" x14ac:dyDescent="0.3">
      <c r="A1026" s="3" t="s">
        <v>116</v>
      </c>
      <c r="B1026" s="3" t="str">
        <f>TEXT(Table1[[#This Row],[Date]], "YYYY-mm")</f>
        <v>2024-10</v>
      </c>
      <c r="C1026" s="4" t="s">
        <v>29</v>
      </c>
      <c r="D1026" s="4" t="s">
        <v>19</v>
      </c>
      <c r="E1026" s="4">
        <v>15</v>
      </c>
      <c r="F1026" s="4">
        <v>2412.65</v>
      </c>
      <c r="G1026" s="9">
        <f>Table1[[#This Row],[Quantity]]*Table1[[#This Row],[Price]]</f>
        <v>36189.75</v>
      </c>
    </row>
    <row r="1027" spans="1:7" ht="21" customHeight="1" x14ac:dyDescent="0.3">
      <c r="A1027" s="1" t="s">
        <v>136</v>
      </c>
      <c r="B1027" s="1" t="str">
        <f>TEXT(Table1[[#This Row],[Date]], "YYYY-mm")</f>
        <v>2024-05</v>
      </c>
      <c r="C1027" s="2" t="s">
        <v>39</v>
      </c>
      <c r="D1027" s="2" t="s">
        <v>8</v>
      </c>
      <c r="E1027" s="2">
        <v>4</v>
      </c>
      <c r="F1027" s="2">
        <v>4.7300000000000004</v>
      </c>
      <c r="G1027" s="8">
        <f>Table1[[#This Row],[Quantity]]*Table1[[#This Row],[Price]]</f>
        <v>18.920000000000002</v>
      </c>
    </row>
    <row r="1028" spans="1:7" ht="21" customHeight="1" x14ac:dyDescent="0.3">
      <c r="A1028" s="3" t="s">
        <v>362</v>
      </c>
      <c r="B1028" s="3" t="str">
        <f>TEXT(Table1[[#This Row],[Date]], "YYYY-mm")</f>
        <v>2024-06</v>
      </c>
      <c r="C1028" s="4" t="s">
        <v>10</v>
      </c>
      <c r="D1028" s="4" t="s">
        <v>8</v>
      </c>
      <c r="E1028" s="4">
        <v>15</v>
      </c>
      <c r="F1028" s="4">
        <v>112.5</v>
      </c>
      <c r="G1028" s="9">
        <f>Table1[[#This Row],[Quantity]]*Table1[[#This Row],[Price]]</f>
        <v>1687.5</v>
      </c>
    </row>
    <row r="1029" spans="1:7" ht="21" customHeight="1" x14ac:dyDescent="0.3">
      <c r="A1029" s="1" t="s">
        <v>342</v>
      </c>
      <c r="B1029" s="1" t="str">
        <f>TEXT(Table1[[#This Row],[Date]], "YYYY-mm")</f>
        <v>2024-01</v>
      </c>
      <c r="C1029" s="2" t="s">
        <v>39</v>
      </c>
      <c r="D1029" s="2" t="s">
        <v>8</v>
      </c>
      <c r="E1029" s="2">
        <v>3</v>
      </c>
      <c r="F1029" s="2">
        <v>6.87</v>
      </c>
      <c r="G1029" s="8">
        <f>Table1[[#This Row],[Quantity]]*Table1[[#This Row],[Price]]</f>
        <v>20.61</v>
      </c>
    </row>
    <row r="1030" spans="1:7" ht="21" customHeight="1" x14ac:dyDescent="0.3">
      <c r="A1030" s="3" t="s">
        <v>344</v>
      </c>
      <c r="B1030" s="3" t="str">
        <f>TEXT(Table1[[#This Row],[Date]], "YYYY-mm")</f>
        <v>2024-04</v>
      </c>
      <c r="C1030" s="4" t="s">
        <v>22</v>
      </c>
      <c r="D1030" s="4" t="s">
        <v>13</v>
      </c>
      <c r="E1030" s="4">
        <v>12</v>
      </c>
      <c r="F1030" s="4">
        <v>571.25</v>
      </c>
      <c r="G1030" s="9">
        <f>Table1[[#This Row],[Quantity]]*Table1[[#This Row],[Price]]</f>
        <v>6855</v>
      </c>
    </row>
    <row r="1031" spans="1:7" ht="21" customHeight="1" x14ac:dyDescent="0.3">
      <c r="A1031" s="1" t="s">
        <v>349</v>
      </c>
      <c r="B1031" s="1" t="str">
        <f>TEXT(Table1[[#This Row],[Date]], "YYYY-mm")</f>
        <v>2024-01</v>
      </c>
      <c r="C1031" s="2" t="s">
        <v>15</v>
      </c>
      <c r="D1031" s="2" t="s">
        <v>8</v>
      </c>
      <c r="E1031" s="2">
        <v>14</v>
      </c>
      <c r="F1031" s="2">
        <v>5.22</v>
      </c>
      <c r="G1031" s="8">
        <f>Table1[[#This Row],[Quantity]]*Table1[[#This Row],[Price]]</f>
        <v>73.08</v>
      </c>
    </row>
    <row r="1032" spans="1:7" ht="21" customHeight="1" x14ac:dyDescent="0.3">
      <c r="A1032" s="3" t="s">
        <v>334</v>
      </c>
      <c r="B1032" s="3" t="str">
        <f>TEXT(Table1[[#This Row],[Date]], "YYYY-mm")</f>
        <v>2024-10</v>
      </c>
      <c r="C1032" s="4" t="s">
        <v>22</v>
      </c>
      <c r="D1032" s="4" t="s">
        <v>13</v>
      </c>
      <c r="E1032" s="4">
        <v>7</v>
      </c>
      <c r="F1032" s="4">
        <v>1174.94</v>
      </c>
      <c r="G1032" s="9">
        <f>Table1[[#This Row],[Quantity]]*Table1[[#This Row],[Price]]</f>
        <v>8224.58</v>
      </c>
    </row>
    <row r="1033" spans="1:7" ht="21" customHeight="1" x14ac:dyDescent="0.3">
      <c r="A1033" s="1" t="s">
        <v>173</v>
      </c>
      <c r="B1033" s="1" t="str">
        <f>TEXT(Table1[[#This Row],[Date]], "YYYY-mm")</f>
        <v>2024-03</v>
      </c>
      <c r="C1033" s="2" t="s">
        <v>10</v>
      </c>
      <c r="D1033" s="2" t="s">
        <v>8</v>
      </c>
      <c r="E1033" s="2">
        <v>15</v>
      </c>
      <c r="F1033" s="2">
        <v>53.34</v>
      </c>
      <c r="G1033" s="8">
        <f>Table1[[#This Row],[Quantity]]*Table1[[#This Row],[Price]]</f>
        <v>800.1</v>
      </c>
    </row>
    <row r="1034" spans="1:7" ht="21" customHeight="1" x14ac:dyDescent="0.3">
      <c r="A1034" s="3" t="s">
        <v>221</v>
      </c>
      <c r="B1034" s="3" t="str">
        <f>TEXT(Table1[[#This Row],[Date]], "YYYY-mm")</f>
        <v>2024-10</v>
      </c>
      <c r="C1034" s="4" t="s">
        <v>25</v>
      </c>
      <c r="D1034" s="4" t="s">
        <v>19</v>
      </c>
      <c r="E1034" s="4">
        <v>14</v>
      </c>
      <c r="F1034" s="4">
        <v>688.52</v>
      </c>
      <c r="G1034" s="9">
        <f>Table1[[#This Row],[Quantity]]*Table1[[#This Row],[Price]]</f>
        <v>9639.2799999999988</v>
      </c>
    </row>
    <row r="1035" spans="1:7" ht="21" customHeight="1" x14ac:dyDescent="0.3">
      <c r="A1035" s="1" t="s">
        <v>35</v>
      </c>
      <c r="B1035" s="1" t="str">
        <f>TEXT(Table1[[#This Row],[Date]], "YYYY-mm")</f>
        <v>2024-08</v>
      </c>
      <c r="C1035" s="2" t="s">
        <v>25</v>
      </c>
      <c r="D1035" s="2" t="s">
        <v>19</v>
      </c>
      <c r="E1035" s="2">
        <v>15</v>
      </c>
      <c r="F1035" s="2">
        <v>567.29</v>
      </c>
      <c r="G1035" s="8">
        <f>Table1[[#This Row],[Quantity]]*Table1[[#This Row],[Price]]</f>
        <v>8509.3499999999985</v>
      </c>
    </row>
    <row r="1036" spans="1:7" ht="21" customHeight="1" x14ac:dyDescent="0.3">
      <c r="A1036" s="3" t="s">
        <v>230</v>
      </c>
      <c r="B1036" s="3" t="str">
        <f>TEXT(Table1[[#This Row],[Date]], "YYYY-mm")</f>
        <v>2024-04</v>
      </c>
      <c r="C1036" s="4" t="s">
        <v>12</v>
      </c>
      <c r="D1036" s="4" t="s">
        <v>13</v>
      </c>
      <c r="E1036" s="4">
        <v>15</v>
      </c>
      <c r="F1036" s="4">
        <v>225.06</v>
      </c>
      <c r="G1036" s="9">
        <f>Table1[[#This Row],[Quantity]]*Table1[[#This Row],[Price]]</f>
        <v>3375.9</v>
      </c>
    </row>
    <row r="1037" spans="1:7" ht="21" customHeight="1" x14ac:dyDescent="0.3">
      <c r="A1037" s="1" t="s">
        <v>164</v>
      </c>
      <c r="B1037" s="1" t="str">
        <f>TEXT(Table1[[#This Row],[Date]], "YYYY-mm")</f>
        <v>2024-06</v>
      </c>
      <c r="C1037" s="2" t="s">
        <v>39</v>
      </c>
      <c r="D1037" s="2" t="s">
        <v>8</v>
      </c>
      <c r="E1037" s="2">
        <v>5</v>
      </c>
      <c r="F1037" s="2">
        <v>4.96</v>
      </c>
      <c r="G1037" s="8">
        <f>Table1[[#This Row],[Quantity]]*Table1[[#This Row],[Price]]</f>
        <v>24.8</v>
      </c>
    </row>
    <row r="1038" spans="1:7" ht="21" customHeight="1" x14ac:dyDescent="0.3">
      <c r="A1038" s="3" t="s">
        <v>130</v>
      </c>
      <c r="B1038" s="3" t="str">
        <f>TEXT(Table1[[#This Row],[Date]], "YYYY-mm")</f>
        <v>2024-08</v>
      </c>
      <c r="C1038" s="4" t="s">
        <v>44</v>
      </c>
      <c r="D1038" s="4" t="s">
        <v>8</v>
      </c>
      <c r="E1038" s="4">
        <v>11</v>
      </c>
      <c r="F1038" s="4">
        <v>10.84</v>
      </c>
      <c r="G1038" s="9">
        <f>Table1[[#This Row],[Quantity]]*Table1[[#This Row],[Price]]</f>
        <v>119.24</v>
      </c>
    </row>
    <row r="1039" spans="1:7" ht="21" customHeight="1" x14ac:dyDescent="0.3">
      <c r="A1039" s="1" t="s">
        <v>77</v>
      </c>
      <c r="B1039" s="1" t="str">
        <f>TEXT(Table1[[#This Row],[Date]], "YYYY-mm")</f>
        <v>2024-09</v>
      </c>
      <c r="C1039" s="2" t="s">
        <v>12</v>
      </c>
      <c r="D1039" s="2" t="s">
        <v>13</v>
      </c>
      <c r="E1039" s="2">
        <v>9</v>
      </c>
      <c r="F1039" s="2">
        <v>535.87</v>
      </c>
      <c r="G1039" s="8">
        <f>Table1[[#This Row],[Quantity]]*Table1[[#This Row],[Price]]</f>
        <v>4822.83</v>
      </c>
    </row>
    <row r="1040" spans="1:7" ht="21" customHeight="1" x14ac:dyDescent="0.3">
      <c r="A1040" s="3" t="s">
        <v>327</v>
      </c>
      <c r="B1040" s="3" t="str">
        <f>TEXT(Table1[[#This Row],[Date]], "YYYY-mm")</f>
        <v>2024-10</v>
      </c>
      <c r="C1040" s="4" t="s">
        <v>18</v>
      </c>
      <c r="D1040" s="4" t="s">
        <v>19</v>
      </c>
      <c r="E1040" s="4">
        <v>8</v>
      </c>
      <c r="F1040" s="4">
        <v>572.05999999999995</v>
      </c>
      <c r="G1040" s="9">
        <f>Table1[[#This Row],[Quantity]]*Table1[[#This Row],[Price]]</f>
        <v>4576.4799999999996</v>
      </c>
    </row>
    <row r="1041" spans="1:7" ht="21" customHeight="1" x14ac:dyDescent="0.3">
      <c r="A1041" s="1" t="s">
        <v>330</v>
      </c>
      <c r="B1041" s="1" t="str">
        <f>TEXT(Table1[[#This Row],[Date]], "YYYY-mm")</f>
        <v>2024-11</v>
      </c>
      <c r="C1041" s="2" t="s">
        <v>34</v>
      </c>
      <c r="D1041" s="2" t="s">
        <v>19</v>
      </c>
      <c r="E1041" s="2">
        <v>15</v>
      </c>
      <c r="F1041" s="2">
        <v>1098.8699999999999</v>
      </c>
      <c r="G1041" s="8">
        <f>Table1[[#This Row],[Quantity]]*Table1[[#This Row],[Price]]</f>
        <v>16483.05</v>
      </c>
    </row>
    <row r="1042" spans="1:7" ht="21" customHeight="1" x14ac:dyDescent="0.3">
      <c r="A1042" s="3" t="s">
        <v>285</v>
      </c>
      <c r="B1042" s="3" t="str">
        <f>TEXT(Table1[[#This Row],[Date]], "YYYY-mm")</f>
        <v>2024-07</v>
      </c>
      <c r="C1042" s="4" t="s">
        <v>29</v>
      </c>
      <c r="D1042" s="4" t="s">
        <v>19</v>
      </c>
      <c r="E1042" s="4">
        <v>7</v>
      </c>
      <c r="F1042" s="4">
        <v>1573.93</v>
      </c>
      <c r="G1042" s="9">
        <f>Table1[[#This Row],[Quantity]]*Table1[[#This Row],[Price]]</f>
        <v>11017.51</v>
      </c>
    </row>
    <row r="1043" spans="1:7" ht="21" customHeight="1" x14ac:dyDescent="0.3">
      <c r="A1043" s="1" t="s">
        <v>49</v>
      </c>
      <c r="B1043" s="1" t="str">
        <f>TEXT(Table1[[#This Row],[Date]], "YYYY-mm")</f>
        <v>2024-01</v>
      </c>
      <c r="C1043" s="2" t="s">
        <v>44</v>
      </c>
      <c r="D1043" s="2" t="s">
        <v>8</v>
      </c>
      <c r="E1043" s="2">
        <v>6</v>
      </c>
      <c r="F1043" s="2">
        <v>6.92</v>
      </c>
      <c r="G1043" s="8">
        <f>Table1[[#This Row],[Quantity]]*Table1[[#This Row],[Price]]</f>
        <v>41.519999999999996</v>
      </c>
    </row>
    <row r="1044" spans="1:7" ht="21" customHeight="1" x14ac:dyDescent="0.3">
      <c r="A1044" s="3" t="s">
        <v>107</v>
      </c>
      <c r="B1044" s="3" t="str">
        <f>TEXT(Table1[[#This Row],[Date]], "YYYY-mm")</f>
        <v>2024-08</v>
      </c>
      <c r="C1044" s="4" t="s">
        <v>29</v>
      </c>
      <c r="D1044" s="4" t="s">
        <v>19</v>
      </c>
      <c r="E1044" s="4">
        <v>1</v>
      </c>
      <c r="F1044" s="4">
        <v>1667.23</v>
      </c>
      <c r="G1044" s="9">
        <f>Table1[[#This Row],[Quantity]]*Table1[[#This Row],[Price]]</f>
        <v>1667.23</v>
      </c>
    </row>
    <row r="1045" spans="1:7" ht="21" customHeight="1" x14ac:dyDescent="0.3">
      <c r="A1045" s="1" t="s">
        <v>85</v>
      </c>
      <c r="B1045" s="1" t="str">
        <f>TEXT(Table1[[#This Row],[Date]], "YYYY-mm")</f>
        <v>2024-02</v>
      </c>
      <c r="C1045" s="2" t="s">
        <v>12</v>
      </c>
      <c r="D1045" s="2" t="s">
        <v>13</v>
      </c>
      <c r="E1045" s="2">
        <v>7</v>
      </c>
      <c r="F1045" s="2">
        <v>445.22</v>
      </c>
      <c r="G1045" s="8">
        <f>Table1[[#This Row],[Quantity]]*Table1[[#This Row],[Price]]</f>
        <v>3116.54</v>
      </c>
    </row>
    <row r="1046" spans="1:7" ht="21" customHeight="1" x14ac:dyDescent="0.3">
      <c r="A1046" s="3" t="s">
        <v>304</v>
      </c>
      <c r="B1046" s="3" t="str">
        <f>TEXT(Table1[[#This Row],[Date]], "YYYY-mm")</f>
        <v>2024-12</v>
      </c>
      <c r="C1046" s="4" t="s">
        <v>34</v>
      </c>
      <c r="D1046" s="4" t="s">
        <v>19</v>
      </c>
      <c r="E1046" s="4">
        <v>1</v>
      </c>
      <c r="F1046" s="4">
        <v>1584.93</v>
      </c>
      <c r="G1046" s="9">
        <f>Table1[[#This Row],[Quantity]]*Table1[[#This Row],[Price]]</f>
        <v>1584.93</v>
      </c>
    </row>
    <row r="1047" spans="1:7" ht="21" customHeight="1" x14ac:dyDescent="0.3">
      <c r="A1047" s="1" t="s">
        <v>343</v>
      </c>
      <c r="B1047" s="1" t="str">
        <f>TEXT(Table1[[#This Row],[Date]], "YYYY-mm")</f>
        <v>2024-05</v>
      </c>
      <c r="C1047" s="2" t="s">
        <v>39</v>
      </c>
      <c r="D1047" s="2" t="s">
        <v>8</v>
      </c>
      <c r="E1047" s="2">
        <v>12</v>
      </c>
      <c r="F1047" s="2">
        <v>2.64</v>
      </c>
      <c r="G1047" s="8">
        <f>Table1[[#This Row],[Quantity]]*Table1[[#This Row],[Price]]</f>
        <v>31.68</v>
      </c>
    </row>
    <row r="1048" spans="1:7" ht="21" customHeight="1" x14ac:dyDescent="0.3">
      <c r="A1048" s="3" t="s">
        <v>301</v>
      </c>
      <c r="B1048" s="3" t="str">
        <f>TEXT(Table1[[#This Row],[Date]], "YYYY-mm")</f>
        <v>2024-07</v>
      </c>
      <c r="C1048" s="4" t="s">
        <v>27</v>
      </c>
      <c r="D1048" s="4" t="s">
        <v>8</v>
      </c>
      <c r="E1048" s="4">
        <v>11</v>
      </c>
      <c r="F1048" s="4">
        <v>133.79</v>
      </c>
      <c r="G1048" s="9">
        <f>Table1[[#This Row],[Quantity]]*Table1[[#This Row],[Price]]</f>
        <v>1471.6899999999998</v>
      </c>
    </row>
    <row r="1049" spans="1:7" ht="21" customHeight="1" x14ac:dyDescent="0.3">
      <c r="A1049" s="1" t="s">
        <v>355</v>
      </c>
      <c r="B1049" s="1" t="str">
        <f>TEXT(Table1[[#This Row],[Date]], "YYYY-mm")</f>
        <v>2024-06</v>
      </c>
      <c r="C1049" s="2" t="s">
        <v>12</v>
      </c>
      <c r="D1049" s="2" t="s">
        <v>13</v>
      </c>
      <c r="E1049" s="2">
        <v>1</v>
      </c>
      <c r="F1049" s="2">
        <v>508.41</v>
      </c>
      <c r="G1049" s="8">
        <f>Table1[[#This Row],[Quantity]]*Table1[[#This Row],[Price]]</f>
        <v>508.41</v>
      </c>
    </row>
    <row r="1050" spans="1:7" ht="21" customHeight="1" x14ac:dyDescent="0.3">
      <c r="A1050" s="3" t="s">
        <v>256</v>
      </c>
      <c r="B1050" s="3" t="str">
        <f>TEXT(Table1[[#This Row],[Date]], "YYYY-mm")</f>
        <v>2024-08</v>
      </c>
      <c r="C1050" s="4" t="s">
        <v>29</v>
      </c>
      <c r="D1050" s="4" t="s">
        <v>19</v>
      </c>
      <c r="E1050" s="4">
        <v>11</v>
      </c>
      <c r="F1050" s="4">
        <v>1356.69</v>
      </c>
      <c r="G1050" s="9">
        <f>Table1[[#This Row],[Quantity]]*Table1[[#This Row],[Price]]</f>
        <v>14923.59</v>
      </c>
    </row>
    <row r="1051" spans="1:7" ht="21" customHeight="1" x14ac:dyDescent="0.3">
      <c r="A1051" s="1" t="s">
        <v>127</v>
      </c>
      <c r="B1051" s="1" t="str">
        <f>TEXT(Table1[[#This Row],[Date]], "YYYY-mm")</f>
        <v>2024-03</v>
      </c>
      <c r="C1051" s="2" t="s">
        <v>18</v>
      </c>
      <c r="D1051" s="2" t="s">
        <v>19</v>
      </c>
      <c r="E1051" s="2">
        <v>14</v>
      </c>
      <c r="F1051" s="2">
        <v>1421.57</v>
      </c>
      <c r="G1051" s="8">
        <f>Table1[[#This Row],[Quantity]]*Table1[[#This Row],[Price]]</f>
        <v>19901.98</v>
      </c>
    </row>
    <row r="1052" spans="1:7" ht="21" customHeight="1" x14ac:dyDescent="0.3">
      <c r="A1052" s="3" t="s">
        <v>210</v>
      </c>
      <c r="B1052" s="3" t="str">
        <f>TEXT(Table1[[#This Row],[Date]], "YYYY-mm")</f>
        <v>2024-03</v>
      </c>
      <c r="C1052" s="4" t="s">
        <v>7</v>
      </c>
      <c r="D1052" s="4" t="s">
        <v>8</v>
      </c>
      <c r="E1052" s="4">
        <v>9</v>
      </c>
      <c r="F1052" s="4">
        <v>33.020000000000003</v>
      </c>
      <c r="G1052" s="9">
        <f>Table1[[#This Row],[Quantity]]*Table1[[#This Row],[Price]]</f>
        <v>297.18</v>
      </c>
    </row>
    <row r="1053" spans="1:7" ht="21" customHeight="1" x14ac:dyDescent="0.3">
      <c r="A1053" s="1" t="s">
        <v>192</v>
      </c>
      <c r="B1053" s="1" t="str">
        <f>TEXT(Table1[[#This Row],[Date]], "YYYY-mm")</f>
        <v>2024-02</v>
      </c>
      <c r="C1053" s="2" t="s">
        <v>27</v>
      </c>
      <c r="D1053" s="2" t="s">
        <v>8</v>
      </c>
      <c r="E1053" s="2">
        <v>10</v>
      </c>
      <c r="F1053" s="2">
        <v>152.13</v>
      </c>
      <c r="G1053" s="8">
        <f>Table1[[#This Row],[Quantity]]*Table1[[#This Row],[Price]]</f>
        <v>1521.3</v>
      </c>
    </row>
    <row r="1054" spans="1:7" ht="21" customHeight="1" x14ac:dyDescent="0.3">
      <c r="A1054" s="3" t="s">
        <v>363</v>
      </c>
      <c r="B1054" s="3" t="str">
        <f>TEXT(Table1[[#This Row],[Date]], "YYYY-mm")</f>
        <v>2024-12</v>
      </c>
      <c r="C1054" s="4" t="s">
        <v>44</v>
      </c>
      <c r="D1054" s="4" t="s">
        <v>8</v>
      </c>
      <c r="E1054" s="4">
        <v>13</v>
      </c>
      <c r="F1054" s="4">
        <v>12.64</v>
      </c>
      <c r="G1054" s="9">
        <f>Table1[[#This Row],[Quantity]]*Table1[[#This Row],[Price]]</f>
        <v>164.32</v>
      </c>
    </row>
    <row r="1055" spans="1:7" ht="21" customHeight="1" x14ac:dyDescent="0.3">
      <c r="A1055" s="1" t="s">
        <v>244</v>
      </c>
      <c r="B1055" s="1" t="str">
        <f>TEXT(Table1[[#This Row],[Date]], "YYYY-mm")</f>
        <v>2024-05</v>
      </c>
      <c r="C1055" s="2" t="s">
        <v>10</v>
      </c>
      <c r="D1055" s="2" t="s">
        <v>8</v>
      </c>
      <c r="E1055" s="2">
        <v>6</v>
      </c>
      <c r="F1055" s="2">
        <v>101.33</v>
      </c>
      <c r="G1055" s="8">
        <f>Table1[[#This Row],[Quantity]]*Table1[[#This Row],[Price]]</f>
        <v>607.98</v>
      </c>
    </row>
    <row r="1056" spans="1:7" ht="21" customHeight="1" x14ac:dyDescent="0.3">
      <c r="A1056" s="3" t="s">
        <v>65</v>
      </c>
      <c r="B1056" s="3" t="str">
        <f>TEXT(Table1[[#This Row],[Date]], "YYYY-mm")</f>
        <v>2024-04</v>
      </c>
      <c r="C1056" s="4" t="s">
        <v>27</v>
      </c>
      <c r="D1056" s="4" t="s">
        <v>8</v>
      </c>
      <c r="E1056" s="4">
        <v>7</v>
      </c>
      <c r="F1056" s="4">
        <v>102.52</v>
      </c>
      <c r="G1056" s="9">
        <f>Table1[[#This Row],[Quantity]]*Table1[[#This Row],[Price]]</f>
        <v>717.64</v>
      </c>
    </row>
    <row r="1057" spans="1:7" ht="21" customHeight="1" x14ac:dyDescent="0.3">
      <c r="A1057" s="1" t="s">
        <v>331</v>
      </c>
      <c r="B1057" s="1" t="str">
        <f>TEXT(Table1[[#This Row],[Date]], "YYYY-mm")</f>
        <v>2024-05</v>
      </c>
      <c r="C1057" s="2" t="s">
        <v>27</v>
      </c>
      <c r="D1057" s="2" t="s">
        <v>8</v>
      </c>
      <c r="E1057" s="2">
        <v>10</v>
      </c>
      <c r="F1057" s="2">
        <v>209.05</v>
      </c>
      <c r="G1057" s="8">
        <f>Table1[[#This Row],[Quantity]]*Table1[[#This Row],[Price]]</f>
        <v>2090.5</v>
      </c>
    </row>
    <row r="1058" spans="1:7" ht="21" customHeight="1" x14ac:dyDescent="0.3">
      <c r="A1058" s="3" t="s">
        <v>180</v>
      </c>
      <c r="B1058" s="3" t="str">
        <f>TEXT(Table1[[#This Row],[Date]], "YYYY-mm")</f>
        <v>2024-04</v>
      </c>
      <c r="C1058" s="4" t="s">
        <v>12</v>
      </c>
      <c r="D1058" s="4" t="s">
        <v>13</v>
      </c>
      <c r="E1058" s="4">
        <v>9</v>
      </c>
      <c r="F1058" s="4">
        <v>323.3</v>
      </c>
      <c r="G1058" s="9">
        <f>Table1[[#This Row],[Quantity]]*Table1[[#This Row],[Price]]</f>
        <v>2909.7000000000003</v>
      </c>
    </row>
    <row r="1059" spans="1:7" ht="21" customHeight="1" x14ac:dyDescent="0.3">
      <c r="A1059" s="1" t="s">
        <v>141</v>
      </c>
      <c r="B1059" s="1" t="str">
        <f>TEXT(Table1[[#This Row],[Date]], "YYYY-mm")</f>
        <v>2024-12</v>
      </c>
      <c r="C1059" s="2" t="s">
        <v>29</v>
      </c>
      <c r="D1059" s="2" t="s">
        <v>19</v>
      </c>
      <c r="E1059" s="2">
        <v>9</v>
      </c>
      <c r="F1059" s="2">
        <v>1521.3</v>
      </c>
      <c r="G1059" s="8">
        <f>Table1[[#This Row],[Quantity]]*Table1[[#This Row],[Price]]</f>
        <v>13691.699999999999</v>
      </c>
    </row>
    <row r="1060" spans="1:7" ht="21" customHeight="1" x14ac:dyDescent="0.3">
      <c r="A1060" s="3" t="s">
        <v>43</v>
      </c>
      <c r="B1060" s="3" t="str">
        <f>TEXT(Table1[[#This Row],[Date]], "YYYY-mm")</f>
        <v>2024-05</v>
      </c>
      <c r="C1060" s="4" t="s">
        <v>39</v>
      </c>
      <c r="D1060" s="4" t="s">
        <v>8</v>
      </c>
      <c r="E1060" s="4">
        <v>12</v>
      </c>
      <c r="F1060" s="4">
        <v>3.96</v>
      </c>
      <c r="G1060" s="9">
        <f>Table1[[#This Row],[Quantity]]*Table1[[#This Row],[Price]]</f>
        <v>47.519999999999996</v>
      </c>
    </row>
    <row r="1061" spans="1:7" ht="21" customHeight="1" x14ac:dyDescent="0.3">
      <c r="A1061" s="1" t="s">
        <v>221</v>
      </c>
      <c r="B1061" s="1" t="str">
        <f>TEXT(Table1[[#This Row],[Date]], "YYYY-mm")</f>
        <v>2024-10</v>
      </c>
      <c r="C1061" s="2" t="s">
        <v>7</v>
      </c>
      <c r="D1061" s="2" t="s">
        <v>8</v>
      </c>
      <c r="E1061" s="2">
        <v>9</v>
      </c>
      <c r="F1061" s="2">
        <v>27.3</v>
      </c>
      <c r="G1061" s="8">
        <f>Table1[[#This Row],[Quantity]]*Table1[[#This Row],[Price]]</f>
        <v>245.70000000000002</v>
      </c>
    </row>
    <row r="1062" spans="1:7" ht="21" customHeight="1" x14ac:dyDescent="0.3">
      <c r="A1062" s="3" t="s">
        <v>268</v>
      </c>
      <c r="B1062" s="3" t="str">
        <f>TEXT(Table1[[#This Row],[Date]], "YYYY-mm")</f>
        <v>2024-05</v>
      </c>
      <c r="C1062" s="4" t="s">
        <v>10</v>
      </c>
      <c r="D1062" s="4" t="s">
        <v>8</v>
      </c>
      <c r="E1062" s="4">
        <v>4</v>
      </c>
      <c r="F1062" s="4">
        <v>60.82</v>
      </c>
      <c r="G1062" s="9">
        <f>Table1[[#This Row],[Quantity]]*Table1[[#This Row],[Price]]</f>
        <v>243.28</v>
      </c>
    </row>
    <row r="1063" spans="1:7" ht="21" customHeight="1" x14ac:dyDescent="0.3">
      <c r="A1063" s="1" t="s">
        <v>187</v>
      </c>
      <c r="B1063" s="1" t="str">
        <f>TEXT(Table1[[#This Row],[Date]], "YYYY-mm")</f>
        <v>2024-09</v>
      </c>
      <c r="C1063" s="2" t="s">
        <v>44</v>
      </c>
      <c r="D1063" s="2" t="s">
        <v>8</v>
      </c>
      <c r="E1063" s="2">
        <v>1</v>
      </c>
      <c r="F1063" s="2">
        <v>7.03</v>
      </c>
      <c r="G1063" s="8">
        <f>Table1[[#This Row],[Quantity]]*Table1[[#This Row],[Price]]</f>
        <v>7.03</v>
      </c>
    </row>
    <row r="1064" spans="1:7" ht="21" customHeight="1" x14ac:dyDescent="0.3">
      <c r="A1064" s="3" t="s">
        <v>323</v>
      </c>
      <c r="B1064" s="3" t="str">
        <f>TEXT(Table1[[#This Row],[Date]], "YYYY-mm")</f>
        <v>2024-10</v>
      </c>
      <c r="C1064" s="4" t="s">
        <v>27</v>
      </c>
      <c r="D1064" s="4" t="s">
        <v>8</v>
      </c>
      <c r="E1064" s="4">
        <v>15</v>
      </c>
      <c r="F1064" s="4">
        <v>208.8</v>
      </c>
      <c r="G1064" s="9">
        <f>Table1[[#This Row],[Quantity]]*Table1[[#This Row],[Price]]</f>
        <v>3132</v>
      </c>
    </row>
    <row r="1065" spans="1:7" ht="21" customHeight="1" x14ac:dyDescent="0.3">
      <c r="A1065" s="1" t="s">
        <v>168</v>
      </c>
      <c r="B1065" s="1" t="str">
        <f>TEXT(Table1[[#This Row],[Date]], "YYYY-mm")</f>
        <v>2024-03</v>
      </c>
      <c r="C1065" s="2" t="s">
        <v>25</v>
      </c>
      <c r="D1065" s="2" t="s">
        <v>19</v>
      </c>
      <c r="E1065" s="2">
        <v>12</v>
      </c>
      <c r="F1065" s="2">
        <v>876.25</v>
      </c>
      <c r="G1065" s="8">
        <f>Table1[[#This Row],[Quantity]]*Table1[[#This Row],[Price]]</f>
        <v>10515</v>
      </c>
    </row>
    <row r="1066" spans="1:7" ht="21" customHeight="1" x14ac:dyDescent="0.3">
      <c r="A1066" s="3" t="s">
        <v>114</v>
      </c>
      <c r="B1066" s="3" t="str">
        <f>TEXT(Table1[[#This Row],[Date]], "YYYY-mm")</f>
        <v>2024-07</v>
      </c>
      <c r="C1066" s="4" t="s">
        <v>18</v>
      </c>
      <c r="D1066" s="4" t="s">
        <v>19</v>
      </c>
      <c r="E1066" s="4">
        <v>15</v>
      </c>
      <c r="F1066" s="4">
        <v>304.55</v>
      </c>
      <c r="G1066" s="9">
        <f>Table1[[#This Row],[Quantity]]*Table1[[#This Row],[Price]]</f>
        <v>4568.25</v>
      </c>
    </row>
    <row r="1067" spans="1:7" ht="21" customHeight="1" x14ac:dyDescent="0.3">
      <c r="A1067" s="1" t="s">
        <v>221</v>
      </c>
      <c r="B1067" s="1" t="str">
        <f>TEXT(Table1[[#This Row],[Date]], "YYYY-mm")</f>
        <v>2024-10</v>
      </c>
      <c r="C1067" s="2" t="s">
        <v>15</v>
      </c>
      <c r="D1067" s="2" t="s">
        <v>8</v>
      </c>
      <c r="E1067" s="2">
        <v>11</v>
      </c>
      <c r="F1067" s="2">
        <v>7.1</v>
      </c>
      <c r="G1067" s="8">
        <f>Table1[[#This Row],[Quantity]]*Table1[[#This Row],[Price]]</f>
        <v>78.099999999999994</v>
      </c>
    </row>
    <row r="1068" spans="1:7" ht="21" customHeight="1" x14ac:dyDescent="0.3">
      <c r="A1068" s="3" t="s">
        <v>364</v>
      </c>
      <c r="B1068" s="3" t="str">
        <f>TEXT(Table1[[#This Row],[Date]], "YYYY-mm")</f>
        <v>2024-11</v>
      </c>
      <c r="C1068" s="4" t="s">
        <v>10</v>
      </c>
      <c r="D1068" s="4" t="s">
        <v>8</v>
      </c>
      <c r="E1068" s="4">
        <v>5</v>
      </c>
      <c r="F1068" s="4">
        <v>95.99</v>
      </c>
      <c r="G1068" s="9">
        <f>Table1[[#This Row],[Quantity]]*Table1[[#This Row],[Price]]</f>
        <v>479.95</v>
      </c>
    </row>
    <row r="1069" spans="1:7" ht="21" customHeight="1" x14ac:dyDescent="0.3">
      <c r="A1069" s="1" t="s">
        <v>293</v>
      </c>
      <c r="B1069" s="1" t="str">
        <f>TEXT(Table1[[#This Row],[Date]], "YYYY-mm")</f>
        <v>2024-02</v>
      </c>
      <c r="C1069" s="2" t="s">
        <v>25</v>
      </c>
      <c r="D1069" s="2" t="s">
        <v>19</v>
      </c>
      <c r="E1069" s="2">
        <v>3</v>
      </c>
      <c r="F1069" s="2">
        <v>731.12</v>
      </c>
      <c r="G1069" s="8">
        <f>Table1[[#This Row],[Quantity]]*Table1[[#This Row],[Price]]</f>
        <v>2193.36</v>
      </c>
    </row>
    <row r="1070" spans="1:7" ht="21" customHeight="1" x14ac:dyDescent="0.3">
      <c r="A1070" s="3" t="s">
        <v>271</v>
      </c>
      <c r="B1070" s="3" t="str">
        <f>TEXT(Table1[[#This Row],[Date]], "YYYY-mm")</f>
        <v>2024-04</v>
      </c>
      <c r="C1070" s="4" t="s">
        <v>10</v>
      </c>
      <c r="D1070" s="4" t="s">
        <v>8</v>
      </c>
      <c r="E1070" s="4">
        <v>4</v>
      </c>
      <c r="F1070" s="4">
        <v>47.83</v>
      </c>
      <c r="G1070" s="9">
        <f>Table1[[#This Row],[Quantity]]*Table1[[#This Row],[Price]]</f>
        <v>191.32</v>
      </c>
    </row>
    <row r="1071" spans="1:7" ht="21" customHeight="1" x14ac:dyDescent="0.3">
      <c r="A1071" s="1" t="s">
        <v>362</v>
      </c>
      <c r="B1071" s="1" t="str">
        <f>TEXT(Table1[[#This Row],[Date]], "YYYY-mm")</f>
        <v>2024-06</v>
      </c>
      <c r="C1071" s="2" t="s">
        <v>22</v>
      </c>
      <c r="D1071" s="2" t="s">
        <v>13</v>
      </c>
      <c r="E1071" s="2">
        <v>9</v>
      </c>
      <c r="F1071" s="2">
        <v>1592.19</v>
      </c>
      <c r="G1071" s="8">
        <f>Table1[[#This Row],[Quantity]]*Table1[[#This Row],[Price]]</f>
        <v>14329.710000000001</v>
      </c>
    </row>
    <row r="1072" spans="1:7" ht="21" customHeight="1" x14ac:dyDescent="0.3">
      <c r="A1072" s="3" t="s">
        <v>338</v>
      </c>
      <c r="B1072" s="3" t="str">
        <f>TEXT(Table1[[#This Row],[Date]], "YYYY-mm")</f>
        <v>2024-03</v>
      </c>
      <c r="C1072" s="4" t="s">
        <v>22</v>
      </c>
      <c r="D1072" s="4" t="s">
        <v>13</v>
      </c>
      <c r="E1072" s="4">
        <v>7</v>
      </c>
      <c r="F1072" s="4">
        <v>1133.97</v>
      </c>
      <c r="G1072" s="9">
        <f>Table1[[#This Row],[Quantity]]*Table1[[#This Row],[Price]]</f>
        <v>7937.79</v>
      </c>
    </row>
    <row r="1073" spans="1:7" ht="21" customHeight="1" x14ac:dyDescent="0.3">
      <c r="A1073" s="1" t="s">
        <v>109</v>
      </c>
      <c r="B1073" s="1" t="str">
        <f>TEXT(Table1[[#This Row],[Date]], "YYYY-mm")</f>
        <v>2024-04</v>
      </c>
      <c r="C1073" s="2" t="s">
        <v>22</v>
      </c>
      <c r="D1073" s="2" t="s">
        <v>13</v>
      </c>
      <c r="E1073" s="2">
        <v>9</v>
      </c>
      <c r="F1073" s="2">
        <v>718.12</v>
      </c>
      <c r="G1073" s="8">
        <f>Table1[[#This Row],[Quantity]]*Table1[[#This Row],[Price]]</f>
        <v>6463.08</v>
      </c>
    </row>
    <row r="1074" spans="1:7" ht="21" customHeight="1" x14ac:dyDescent="0.3">
      <c r="A1074" s="3" t="s">
        <v>236</v>
      </c>
      <c r="B1074" s="3" t="str">
        <f>TEXT(Table1[[#This Row],[Date]], "YYYY-mm")</f>
        <v>2024-09</v>
      </c>
      <c r="C1074" s="4" t="s">
        <v>22</v>
      </c>
      <c r="D1074" s="4" t="s">
        <v>13</v>
      </c>
      <c r="E1074" s="4">
        <v>15</v>
      </c>
      <c r="F1074" s="4">
        <v>1291.1500000000001</v>
      </c>
      <c r="G1074" s="9">
        <f>Table1[[#This Row],[Quantity]]*Table1[[#This Row],[Price]]</f>
        <v>19367.25</v>
      </c>
    </row>
    <row r="1075" spans="1:7" ht="21" customHeight="1" x14ac:dyDescent="0.3">
      <c r="A1075" s="1" t="s">
        <v>279</v>
      </c>
      <c r="B1075" s="1" t="str">
        <f>TEXT(Table1[[#This Row],[Date]], "YYYY-mm")</f>
        <v>2024-02</v>
      </c>
      <c r="C1075" s="2" t="s">
        <v>10</v>
      </c>
      <c r="D1075" s="2" t="s">
        <v>8</v>
      </c>
      <c r="E1075" s="2">
        <v>2</v>
      </c>
      <c r="F1075" s="2">
        <v>48.57</v>
      </c>
      <c r="G1075" s="8">
        <f>Table1[[#This Row],[Quantity]]*Table1[[#This Row],[Price]]</f>
        <v>97.14</v>
      </c>
    </row>
    <row r="1076" spans="1:7" ht="21" customHeight="1" x14ac:dyDescent="0.3">
      <c r="A1076" s="3" t="s">
        <v>340</v>
      </c>
      <c r="B1076" s="3" t="str">
        <f>TEXT(Table1[[#This Row],[Date]], "YYYY-mm")</f>
        <v>2024-01</v>
      </c>
      <c r="C1076" s="4" t="s">
        <v>44</v>
      </c>
      <c r="D1076" s="4" t="s">
        <v>8</v>
      </c>
      <c r="E1076" s="4">
        <v>5</v>
      </c>
      <c r="F1076" s="4">
        <v>16.34</v>
      </c>
      <c r="G1076" s="9">
        <f>Table1[[#This Row],[Quantity]]*Table1[[#This Row],[Price]]</f>
        <v>81.7</v>
      </c>
    </row>
    <row r="1077" spans="1:7" ht="21" customHeight="1" x14ac:dyDescent="0.3">
      <c r="A1077" s="1" t="s">
        <v>94</v>
      </c>
      <c r="B1077" s="1" t="str">
        <f>TEXT(Table1[[#This Row],[Date]], "YYYY-mm")</f>
        <v>2024-11</v>
      </c>
      <c r="C1077" s="2" t="s">
        <v>29</v>
      </c>
      <c r="D1077" s="2" t="s">
        <v>19</v>
      </c>
      <c r="E1077" s="2">
        <v>4</v>
      </c>
      <c r="F1077" s="2">
        <v>795.49</v>
      </c>
      <c r="G1077" s="8">
        <f>Table1[[#This Row],[Quantity]]*Table1[[#This Row],[Price]]</f>
        <v>3181.96</v>
      </c>
    </row>
    <row r="1078" spans="1:7" ht="21" customHeight="1" x14ac:dyDescent="0.3">
      <c r="A1078" s="3" t="s">
        <v>283</v>
      </c>
      <c r="B1078" s="3" t="str">
        <f>TEXT(Table1[[#This Row],[Date]], "YYYY-mm")</f>
        <v>2024-03</v>
      </c>
      <c r="C1078" s="4" t="s">
        <v>15</v>
      </c>
      <c r="D1078" s="4" t="s">
        <v>8</v>
      </c>
      <c r="E1078" s="4">
        <v>9</v>
      </c>
      <c r="F1078" s="4">
        <v>8.6</v>
      </c>
      <c r="G1078" s="9">
        <f>Table1[[#This Row],[Quantity]]*Table1[[#This Row],[Price]]</f>
        <v>77.399999999999991</v>
      </c>
    </row>
    <row r="1079" spans="1:7" ht="21" customHeight="1" x14ac:dyDescent="0.3">
      <c r="A1079" s="1" t="s">
        <v>143</v>
      </c>
      <c r="B1079" s="1" t="str">
        <f>TEXT(Table1[[#This Row],[Date]], "YYYY-mm")</f>
        <v>2024-11</v>
      </c>
      <c r="C1079" s="2" t="s">
        <v>12</v>
      </c>
      <c r="D1079" s="2" t="s">
        <v>13</v>
      </c>
      <c r="E1079" s="2">
        <v>10</v>
      </c>
      <c r="F1079" s="2">
        <v>466.8</v>
      </c>
      <c r="G1079" s="8">
        <f>Table1[[#This Row],[Quantity]]*Table1[[#This Row],[Price]]</f>
        <v>4668</v>
      </c>
    </row>
    <row r="1080" spans="1:7" ht="21" customHeight="1" x14ac:dyDescent="0.3">
      <c r="A1080" s="3" t="s">
        <v>144</v>
      </c>
      <c r="B1080" s="3" t="str">
        <f>TEXT(Table1[[#This Row],[Date]], "YYYY-mm")</f>
        <v>2024-01</v>
      </c>
      <c r="C1080" s="4" t="s">
        <v>18</v>
      </c>
      <c r="D1080" s="4" t="s">
        <v>19</v>
      </c>
      <c r="E1080" s="4">
        <v>3</v>
      </c>
      <c r="F1080" s="4">
        <v>846.54</v>
      </c>
      <c r="G1080" s="9">
        <f>Table1[[#This Row],[Quantity]]*Table1[[#This Row],[Price]]</f>
        <v>2539.62</v>
      </c>
    </row>
    <row r="1081" spans="1:7" ht="21" customHeight="1" x14ac:dyDescent="0.3">
      <c r="A1081" s="1" t="s">
        <v>32</v>
      </c>
      <c r="B1081" s="1" t="str">
        <f>TEXT(Table1[[#This Row],[Date]], "YYYY-mm")</f>
        <v>2024-11</v>
      </c>
      <c r="C1081" s="2" t="s">
        <v>39</v>
      </c>
      <c r="D1081" s="2" t="s">
        <v>8</v>
      </c>
      <c r="E1081" s="2">
        <v>7</v>
      </c>
      <c r="F1081" s="2">
        <v>5.56</v>
      </c>
      <c r="G1081" s="8">
        <f>Table1[[#This Row],[Quantity]]*Table1[[#This Row],[Price]]</f>
        <v>38.919999999999995</v>
      </c>
    </row>
    <row r="1082" spans="1:7" ht="21" customHeight="1" x14ac:dyDescent="0.3">
      <c r="A1082" s="3" t="s">
        <v>191</v>
      </c>
      <c r="B1082" s="3" t="str">
        <f>TEXT(Table1[[#This Row],[Date]], "YYYY-mm")</f>
        <v>2024-07</v>
      </c>
      <c r="C1082" s="4" t="s">
        <v>15</v>
      </c>
      <c r="D1082" s="4" t="s">
        <v>8</v>
      </c>
      <c r="E1082" s="4">
        <v>15</v>
      </c>
      <c r="F1082" s="4">
        <v>5.76</v>
      </c>
      <c r="G1082" s="9">
        <f>Table1[[#This Row],[Quantity]]*Table1[[#This Row],[Price]]</f>
        <v>86.399999999999991</v>
      </c>
    </row>
    <row r="1083" spans="1:7" ht="21" customHeight="1" x14ac:dyDescent="0.3">
      <c r="A1083" s="1" t="s">
        <v>320</v>
      </c>
      <c r="B1083" s="1" t="str">
        <f>TEXT(Table1[[#This Row],[Date]], "YYYY-mm")</f>
        <v>2024-02</v>
      </c>
      <c r="C1083" s="2" t="s">
        <v>34</v>
      </c>
      <c r="D1083" s="2" t="s">
        <v>19</v>
      </c>
      <c r="E1083" s="2">
        <v>5</v>
      </c>
      <c r="F1083" s="2">
        <v>1603.12</v>
      </c>
      <c r="G1083" s="8">
        <f>Table1[[#This Row],[Quantity]]*Table1[[#This Row],[Price]]</f>
        <v>8015.5999999999995</v>
      </c>
    </row>
    <row r="1084" spans="1:7" ht="21" customHeight="1" x14ac:dyDescent="0.3">
      <c r="A1084" s="3" t="s">
        <v>70</v>
      </c>
      <c r="B1084" s="3" t="str">
        <f>TEXT(Table1[[#This Row],[Date]], "YYYY-mm")</f>
        <v>2024-06</v>
      </c>
      <c r="C1084" s="4" t="s">
        <v>39</v>
      </c>
      <c r="D1084" s="4" t="s">
        <v>8</v>
      </c>
      <c r="E1084" s="4">
        <v>6</v>
      </c>
      <c r="F1084" s="4">
        <v>4.12</v>
      </c>
      <c r="G1084" s="9">
        <f>Table1[[#This Row],[Quantity]]*Table1[[#This Row],[Price]]</f>
        <v>24.72</v>
      </c>
    </row>
    <row r="1085" spans="1:7" ht="21" customHeight="1" x14ac:dyDescent="0.3">
      <c r="A1085" s="1" t="s">
        <v>178</v>
      </c>
      <c r="B1085" s="1" t="str">
        <f>TEXT(Table1[[#This Row],[Date]], "YYYY-mm")</f>
        <v>2024-01</v>
      </c>
      <c r="C1085" s="2" t="s">
        <v>25</v>
      </c>
      <c r="D1085" s="2" t="s">
        <v>19</v>
      </c>
      <c r="E1085" s="2">
        <v>8</v>
      </c>
      <c r="F1085" s="2">
        <v>1040.3399999999999</v>
      </c>
      <c r="G1085" s="8">
        <f>Table1[[#This Row],[Quantity]]*Table1[[#This Row],[Price]]</f>
        <v>8322.7199999999993</v>
      </c>
    </row>
    <row r="1086" spans="1:7" ht="21" customHeight="1" x14ac:dyDescent="0.3">
      <c r="A1086" s="3" t="s">
        <v>172</v>
      </c>
      <c r="B1086" s="3" t="str">
        <f>TEXT(Table1[[#This Row],[Date]], "YYYY-mm")</f>
        <v>2024-09</v>
      </c>
      <c r="C1086" s="4" t="s">
        <v>18</v>
      </c>
      <c r="D1086" s="4" t="s">
        <v>19</v>
      </c>
      <c r="E1086" s="4">
        <v>14</v>
      </c>
      <c r="F1086" s="4">
        <v>640.20000000000005</v>
      </c>
      <c r="G1086" s="9">
        <f>Table1[[#This Row],[Quantity]]*Table1[[#This Row],[Price]]</f>
        <v>8962.8000000000011</v>
      </c>
    </row>
    <row r="1087" spans="1:7" ht="21" customHeight="1" x14ac:dyDescent="0.3">
      <c r="A1087" s="1" t="s">
        <v>104</v>
      </c>
      <c r="B1087" s="1" t="str">
        <f>TEXT(Table1[[#This Row],[Date]], "YYYY-mm")</f>
        <v>2024-06</v>
      </c>
      <c r="C1087" s="2" t="s">
        <v>22</v>
      </c>
      <c r="D1087" s="2" t="s">
        <v>13</v>
      </c>
      <c r="E1087" s="2">
        <v>4</v>
      </c>
      <c r="F1087" s="2">
        <v>794.14</v>
      </c>
      <c r="G1087" s="8">
        <f>Table1[[#This Row],[Quantity]]*Table1[[#This Row],[Price]]</f>
        <v>3176.56</v>
      </c>
    </row>
    <row r="1088" spans="1:7" ht="21" customHeight="1" x14ac:dyDescent="0.3">
      <c r="A1088" s="3" t="s">
        <v>365</v>
      </c>
      <c r="B1088" s="3" t="str">
        <f>TEXT(Table1[[#This Row],[Date]], "YYYY-mm")</f>
        <v>2024-07</v>
      </c>
      <c r="C1088" s="4" t="s">
        <v>27</v>
      </c>
      <c r="D1088" s="4" t="s">
        <v>8</v>
      </c>
      <c r="E1088" s="4">
        <v>10</v>
      </c>
      <c r="F1088" s="4">
        <v>136.59</v>
      </c>
      <c r="G1088" s="9">
        <f>Table1[[#This Row],[Quantity]]*Table1[[#This Row],[Price]]</f>
        <v>1365.9</v>
      </c>
    </row>
    <row r="1089" spans="1:7" ht="21" customHeight="1" x14ac:dyDescent="0.3">
      <c r="A1089" s="1" t="s">
        <v>165</v>
      </c>
      <c r="B1089" s="1" t="str">
        <f>TEXT(Table1[[#This Row],[Date]], "YYYY-mm")</f>
        <v>2024-12</v>
      </c>
      <c r="C1089" s="2" t="s">
        <v>34</v>
      </c>
      <c r="D1089" s="2" t="s">
        <v>19</v>
      </c>
      <c r="E1089" s="2">
        <v>9</v>
      </c>
      <c r="F1089" s="2">
        <v>1705.11</v>
      </c>
      <c r="G1089" s="8">
        <f>Table1[[#This Row],[Quantity]]*Table1[[#This Row],[Price]]</f>
        <v>15345.99</v>
      </c>
    </row>
    <row r="1090" spans="1:7" ht="21" customHeight="1" x14ac:dyDescent="0.3">
      <c r="A1090" s="3" t="s">
        <v>115</v>
      </c>
      <c r="B1090" s="3" t="str">
        <f>TEXT(Table1[[#This Row],[Date]], "YYYY-mm")</f>
        <v>2024-10</v>
      </c>
      <c r="C1090" s="4" t="s">
        <v>25</v>
      </c>
      <c r="D1090" s="4" t="s">
        <v>19</v>
      </c>
      <c r="E1090" s="4">
        <v>9</v>
      </c>
      <c r="F1090" s="4">
        <v>895.67</v>
      </c>
      <c r="G1090" s="9">
        <f>Table1[[#This Row],[Quantity]]*Table1[[#This Row],[Price]]</f>
        <v>8061.03</v>
      </c>
    </row>
    <row r="1091" spans="1:7" ht="21" customHeight="1" x14ac:dyDescent="0.3">
      <c r="A1091" s="1" t="s">
        <v>349</v>
      </c>
      <c r="B1091" s="1" t="str">
        <f>TEXT(Table1[[#This Row],[Date]], "YYYY-mm")</f>
        <v>2024-01</v>
      </c>
      <c r="C1091" s="2" t="s">
        <v>7</v>
      </c>
      <c r="D1091" s="2" t="s">
        <v>8</v>
      </c>
      <c r="E1091" s="2">
        <v>10</v>
      </c>
      <c r="F1091" s="2">
        <v>24.29</v>
      </c>
      <c r="G1091" s="8">
        <f>Table1[[#This Row],[Quantity]]*Table1[[#This Row],[Price]]</f>
        <v>242.89999999999998</v>
      </c>
    </row>
    <row r="1092" spans="1:7" ht="21" customHeight="1" x14ac:dyDescent="0.3">
      <c r="A1092" s="3" t="s">
        <v>153</v>
      </c>
      <c r="B1092" s="3" t="str">
        <f>TEXT(Table1[[#This Row],[Date]], "YYYY-mm")</f>
        <v>2024-07</v>
      </c>
      <c r="C1092" s="4" t="s">
        <v>22</v>
      </c>
      <c r="D1092" s="4" t="s">
        <v>13</v>
      </c>
      <c r="E1092" s="4">
        <v>15</v>
      </c>
      <c r="F1092" s="4">
        <v>991.98</v>
      </c>
      <c r="G1092" s="9">
        <f>Table1[[#This Row],[Quantity]]*Table1[[#This Row],[Price]]</f>
        <v>14879.7</v>
      </c>
    </row>
    <row r="1093" spans="1:7" ht="21" customHeight="1" x14ac:dyDescent="0.3">
      <c r="A1093" s="1" t="s">
        <v>17</v>
      </c>
      <c r="B1093" s="1" t="str">
        <f>TEXT(Table1[[#This Row],[Date]], "YYYY-mm")</f>
        <v>2024-10</v>
      </c>
      <c r="C1093" s="2" t="s">
        <v>10</v>
      </c>
      <c r="D1093" s="2" t="s">
        <v>8</v>
      </c>
      <c r="E1093" s="2">
        <v>3</v>
      </c>
      <c r="F1093" s="2">
        <v>55.84</v>
      </c>
      <c r="G1093" s="8">
        <f>Table1[[#This Row],[Quantity]]*Table1[[#This Row],[Price]]</f>
        <v>167.52</v>
      </c>
    </row>
    <row r="1094" spans="1:7" ht="21" customHeight="1" x14ac:dyDescent="0.3">
      <c r="A1094" s="3" t="s">
        <v>277</v>
      </c>
      <c r="B1094" s="3" t="str">
        <f>TEXT(Table1[[#This Row],[Date]], "YYYY-mm")</f>
        <v>2024-03</v>
      </c>
      <c r="C1094" s="4" t="s">
        <v>29</v>
      </c>
      <c r="D1094" s="4" t="s">
        <v>19</v>
      </c>
      <c r="E1094" s="4">
        <v>12</v>
      </c>
      <c r="F1094" s="4">
        <v>2335.14</v>
      </c>
      <c r="G1094" s="9">
        <f>Table1[[#This Row],[Quantity]]*Table1[[#This Row],[Price]]</f>
        <v>28021.68</v>
      </c>
    </row>
    <row r="1095" spans="1:7" ht="21" customHeight="1" x14ac:dyDescent="0.3">
      <c r="A1095" s="1" t="s">
        <v>276</v>
      </c>
      <c r="B1095" s="1" t="str">
        <f>TEXT(Table1[[#This Row],[Date]], "YYYY-mm")</f>
        <v>2024-02</v>
      </c>
      <c r="C1095" s="2" t="s">
        <v>7</v>
      </c>
      <c r="D1095" s="2" t="s">
        <v>8</v>
      </c>
      <c r="E1095" s="2">
        <v>3</v>
      </c>
      <c r="F1095" s="2">
        <v>40.39</v>
      </c>
      <c r="G1095" s="8">
        <f>Table1[[#This Row],[Quantity]]*Table1[[#This Row],[Price]]</f>
        <v>121.17</v>
      </c>
    </row>
    <row r="1096" spans="1:7" ht="21" customHeight="1" x14ac:dyDescent="0.3">
      <c r="A1096" s="3" t="s">
        <v>169</v>
      </c>
      <c r="B1096" s="3" t="str">
        <f>TEXT(Table1[[#This Row],[Date]], "YYYY-mm")</f>
        <v>2024-10</v>
      </c>
      <c r="C1096" s="4" t="s">
        <v>39</v>
      </c>
      <c r="D1096" s="4" t="s">
        <v>8</v>
      </c>
      <c r="E1096" s="4">
        <v>11</v>
      </c>
      <c r="F1096" s="4">
        <v>5.33</v>
      </c>
      <c r="G1096" s="9">
        <f>Table1[[#This Row],[Quantity]]*Table1[[#This Row],[Price]]</f>
        <v>58.63</v>
      </c>
    </row>
    <row r="1097" spans="1:7" ht="21" customHeight="1" x14ac:dyDescent="0.3">
      <c r="A1097" s="1" t="s">
        <v>291</v>
      </c>
      <c r="B1097" s="1" t="str">
        <f>TEXT(Table1[[#This Row],[Date]], "YYYY-mm")</f>
        <v>2024-06</v>
      </c>
      <c r="C1097" s="2" t="s">
        <v>25</v>
      </c>
      <c r="D1097" s="2" t="s">
        <v>19</v>
      </c>
      <c r="E1097" s="2">
        <v>12</v>
      </c>
      <c r="F1097" s="2">
        <v>236.57</v>
      </c>
      <c r="G1097" s="8">
        <f>Table1[[#This Row],[Quantity]]*Table1[[#This Row],[Price]]</f>
        <v>2838.84</v>
      </c>
    </row>
    <row r="1098" spans="1:7" ht="21" customHeight="1" x14ac:dyDescent="0.3">
      <c r="A1098" s="3" t="s">
        <v>193</v>
      </c>
      <c r="B1098" s="3" t="str">
        <f>TEXT(Table1[[#This Row],[Date]], "YYYY-mm")</f>
        <v>2024-09</v>
      </c>
      <c r="C1098" s="4" t="s">
        <v>18</v>
      </c>
      <c r="D1098" s="4" t="s">
        <v>19</v>
      </c>
      <c r="E1098" s="4">
        <v>15</v>
      </c>
      <c r="F1098" s="4">
        <v>491.43</v>
      </c>
      <c r="G1098" s="9">
        <f>Table1[[#This Row],[Quantity]]*Table1[[#This Row],[Price]]</f>
        <v>7371.45</v>
      </c>
    </row>
    <row r="1099" spans="1:7" ht="21" customHeight="1" x14ac:dyDescent="0.3">
      <c r="A1099" s="1" t="s">
        <v>284</v>
      </c>
      <c r="B1099" s="1" t="str">
        <f>TEXT(Table1[[#This Row],[Date]], "YYYY-mm")</f>
        <v>2024-11</v>
      </c>
      <c r="C1099" s="2" t="s">
        <v>22</v>
      </c>
      <c r="D1099" s="2" t="s">
        <v>13</v>
      </c>
      <c r="E1099" s="2">
        <v>5</v>
      </c>
      <c r="F1099" s="2">
        <v>909.03</v>
      </c>
      <c r="G1099" s="8">
        <f>Table1[[#This Row],[Quantity]]*Table1[[#This Row],[Price]]</f>
        <v>4545.1499999999996</v>
      </c>
    </row>
    <row r="1100" spans="1:7" ht="21" customHeight="1" x14ac:dyDescent="0.3">
      <c r="A1100" s="3" t="s">
        <v>238</v>
      </c>
      <c r="B1100" s="3" t="str">
        <f>TEXT(Table1[[#This Row],[Date]], "YYYY-mm")</f>
        <v>2024-07</v>
      </c>
      <c r="C1100" s="4" t="s">
        <v>22</v>
      </c>
      <c r="D1100" s="4" t="s">
        <v>13</v>
      </c>
      <c r="E1100" s="4">
        <v>1</v>
      </c>
      <c r="F1100" s="4">
        <v>639.70000000000005</v>
      </c>
      <c r="G1100" s="9">
        <f>Table1[[#This Row],[Quantity]]*Table1[[#This Row],[Price]]</f>
        <v>639.70000000000005</v>
      </c>
    </row>
    <row r="1101" spans="1:7" ht="21" customHeight="1" x14ac:dyDescent="0.3">
      <c r="A1101" s="1" t="s">
        <v>322</v>
      </c>
      <c r="B1101" s="1" t="str">
        <f>TEXT(Table1[[#This Row],[Date]], "YYYY-mm")</f>
        <v>2024-07</v>
      </c>
      <c r="C1101" s="2" t="s">
        <v>39</v>
      </c>
      <c r="D1101" s="2" t="s">
        <v>8</v>
      </c>
      <c r="E1101" s="2">
        <v>1</v>
      </c>
      <c r="F1101" s="2">
        <v>6.39</v>
      </c>
      <c r="G1101" s="8">
        <f>Table1[[#This Row],[Quantity]]*Table1[[#This Row],[Price]]</f>
        <v>6.39</v>
      </c>
    </row>
    <row r="1102" spans="1:7" ht="21" customHeight="1" x14ac:dyDescent="0.3">
      <c r="A1102" s="3" t="s">
        <v>155</v>
      </c>
      <c r="B1102" s="3" t="str">
        <f>TEXT(Table1[[#This Row],[Date]], "YYYY-mm")</f>
        <v>2024-07</v>
      </c>
      <c r="C1102" s="4" t="s">
        <v>34</v>
      </c>
      <c r="D1102" s="4" t="s">
        <v>19</v>
      </c>
      <c r="E1102" s="4">
        <v>13</v>
      </c>
      <c r="F1102" s="4">
        <v>1099.76</v>
      </c>
      <c r="G1102" s="9">
        <f>Table1[[#This Row],[Quantity]]*Table1[[#This Row],[Price]]</f>
        <v>14296.88</v>
      </c>
    </row>
    <row r="1103" spans="1:7" ht="21" customHeight="1" x14ac:dyDescent="0.3">
      <c r="A1103" s="1" t="s">
        <v>238</v>
      </c>
      <c r="B1103" s="1" t="str">
        <f>TEXT(Table1[[#This Row],[Date]], "YYYY-mm")</f>
        <v>2024-07</v>
      </c>
      <c r="C1103" s="2" t="s">
        <v>29</v>
      </c>
      <c r="D1103" s="2" t="s">
        <v>19</v>
      </c>
      <c r="E1103" s="2">
        <v>9</v>
      </c>
      <c r="F1103" s="2">
        <v>765.35</v>
      </c>
      <c r="G1103" s="8">
        <f>Table1[[#This Row],[Quantity]]*Table1[[#This Row],[Price]]</f>
        <v>6888.1500000000005</v>
      </c>
    </row>
    <row r="1104" spans="1:7" ht="21" customHeight="1" x14ac:dyDescent="0.3">
      <c r="A1104" s="3" t="s">
        <v>193</v>
      </c>
      <c r="B1104" s="3" t="str">
        <f>TEXT(Table1[[#This Row],[Date]], "YYYY-mm")</f>
        <v>2024-09</v>
      </c>
      <c r="C1104" s="4" t="s">
        <v>12</v>
      </c>
      <c r="D1104" s="4" t="s">
        <v>13</v>
      </c>
      <c r="E1104" s="4">
        <v>7</v>
      </c>
      <c r="F1104" s="4">
        <v>552.26</v>
      </c>
      <c r="G1104" s="9">
        <f>Table1[[#This Row],[Quantity]]*Table1[[#This Row],[Price]]</f>
        <v>3865.8199999999997</v>
      </c>
    </row>
    <row r="1105" spans="1:7" ht="21" customHeight="1" x14ac:dyDescent="0.3">
      <c r="A1105" s="1" t="s">
        <v>366</v>
      </c>
      <c r="B1105" s="1" t="str">
        <f>TEXT(Table1[[#This Row],[Date]], "YYYY-mm")</f>
        <v>2024-04</v>
      </c>
      <c r="C1105" s="2" t="s">
        <v>12</v>
      </c>
      <c r="D1105" s="2" t="s">
        <v>13</v>
      </c>
      <c r="E1105" s="2">
        <v>9</v>
      </c>
      <c r="F1105" s="2">
        <v>200.28</v>
      </c>
      <c r="G1105" s="8">
        <f>Table1[[#This Row],[Quantity]]*Table1[[#This Row],[Price]]</f>
        <v>1802.52</v>
      </c>
    </row>
    <row r="1106" spans="1:7" ht="21" customHeight="1" x14ac:dyDescent="0.3">
      <c r="A1106" s="3" t="s">
        <v>204</v>
      </c>
      <c r="B1106" s="3" t="str">
        <f>TEXT(Table1[[#This Row],[Date]], "YYYY-mm")</f>
        <v>2024-01</v>
      </c>
      <c r="C1106" s="4" t="s">
        <v>39</v>
      </c>
      <c r="D1106" s="4" t="s">
        <v>8</v>
      </c>
      <c r="E1106" s="4">
        <v>7</v>
      </c>
      <c r="F1106" s="4">
        <v>2.83</v>
      </c>
      <c r="G1106" s="9">
        <f>Table1[[#This Row],[Quantity]]*Table1[[#This Row],[Price]]</f>
        <v>19.810000000000002</v>
      </c>
    </row>
    <row r="1107" spans="1:7" ht="21" customHeight="1" x14ac:dyDescent="0.3">
      <c r="A1107" s="1" t="s">
        <v>367</v>
      </c>
      <c r="B1107" s="1" t="str">
        <f>TEXT(Table1[[#This Row],[Date]], "YYYY-mm")</f>
        <v>2024-02</v>
      </c>
      <c r="C1107" s="2" t="s">
        <v>15</v>
      </c>
      <c r="D1107" s="2" t="s">
        <v>8</v>
      </c>
      <c r="E1107" s="2">
        <v>4</v>
      </c>
      <c r="F1107" s="2">
        <v>8.39</v>
      </c>
      <c r="G1107" s="8">
        <f>Table1[[#This Row],[Quantity]]*Table1[[#This Row],[Price]]</f>
        <v>33.56</v>
      </c>
    </row>
    <row r="1108" spans="1:7" ht="21" customHeight="1" x14ac:dyDescent="0.3">
      <c r="A1108" s="3" t="s">
        <v>121</v>
      </c>
      <c r="B1108" s="3" t="str">
        <f>TEXT(Table1[[#This Row],[Date]], "YYYY-mm")</f>
        <v>2024-11</v>
      </c>
      <c r="C1108" s="4" t="s">
        <v>10</v>
      </c>
      <c r="D1108" s="4" t="s">
        <v>8</v>
      </c>
      <c r="E1108" s="4">
        <v>8</v>
      </c>
      <c r="F1108" s="4">
        <v>58.85</v>
      </c>
      <c r="G1108" s="9">
        <f>Table1[[#This Row],[Quantity]]*Table1[[#This Row],[Price]]</f>
        <v>470.8</v>
      </c>
    </row>
    <row r="1109" spans="1:7" ht="21" customHeight="1" x14ac:dyDescent="0.3">
      <c r="A1109" s="1" t="s">
        <v>186</v>
      </c>
      <c r="B1109" s="1" t="str">
        <f>TEXT(Table1[[#This Row],[Date]], "YYYY-mm")</f>
        <v>2024-02</v>
      </c>
      <c r="C1109" s="2" t="s">
        <v>29</v>
      </c>
      <c r="D1109" s="2" t="s">
        <v>19</v>
      </c>
      <c r="E1109" s="2">
        <v>14</v>
      </c>
      <c r="F1109" s="2">
        <v>732.03</v>
      </c>
      <c r="G1109" s="8">
        <f>Table1[[#This Row],[Quantity]]*Table1[[#This Row],[Price]]</f>
        <v>10248.42</v>
      </c>
    </row>
    <row r="1110" spans="1:7" ht="21" customHeight="1" x14ac:dyDescent="0.3">
      <c r="A1110" s="3" t="s">
        <v>73</v>
      </c>
      <c r="B1110" s="3" t="str">
        <f>TEXT(Table1[[#This Row],[Date]], "YYYY-mm")</f>
        <v>2024-07</v>
      </c>
      <c r="C1110" s="4" t="s">
        <v>34</v>
      </c>
      <c r="D1110" s="4" t="s">
        <v>19</v>
      </c>
      <c r="E1110" s="4">
        <v>8</v>
      </c>
      <c r="F1110" s="4">
        <v>1684.53</v>
      </c>
      <c r="G1110" s="9">
        <f>Table1[[#This Row],[Quantity]]*Table1[[#This Row],[Price]]</f>
        <v>13476.24</v>
      </c>
    </row>
    <row r="1111" spans="1:7" ht="21" customHeight="1" x14ac:dyDescent="0.3">
      <c r="A1111" s="1" t="s">
        <v>173</v>
      </c>
      <c r="B1111" s="1" t="str">
        <f>TEXT(Table1[[#This Row],[Date]], "YYYY-mm")</f>
        <v>2024-03</v>
      </c>
      <c r="C1111" s="2" t="s">
        <v>18</v>
      </c>
      <c r="D1111" s="2" t="s">
        <v>19</v>
      </c>
      <c r="E1111" s="2">
        <v>13</v>
      </c>
      <c r="F1111" s="2">
        <v>1356.96</v>
      </c>
      <c r="G1111" s="8">
        <f>Table1[[#This Row],[Quantity]]*Table1[[#This Row],[Price]]</f>
        <v>17640.48</v>
      </c>
    </row>
    <row r="1112" spans="1:7" ht="21" customHeight="1" x14ac:dyDescent="0.3">
      <c r="A1112" s="3" t="s">
        <v>100</v>
      </c>
      <c r="B1112" s="3" t="str">
        <f>TEXT(Table1[[#This Row],[Date]], "YYYY-mm")</f>
        <v>2024-05</v>
      </c>
      <c r="C1112" s="4" t="s">
        <v>44</v>
      </c>
      <c r="D1112" s="4" t="s">
        <v>8</v>
      </c>
      <c r="E1112" s="4">
        <v>11</v>
      </c>
      <c r="F1112" s="4">
        <v>10.77</v>
      </c>
      <c r="G1112" s="9">
        <f>Table1[[#This Row],[Quantity]]*Table1[[#This Row],[Price]]</f>
        <v>118.47</v>
      </c>
    </row>
    <row r="1113" spans="1:7" ht="21" customHeight="1" x14ac:dyDescent="0.3">
      <c r="A1113" s="1" t="s">
        <v>26</v>
      </c>
      <c r="B1113" s="1" t="str">
        <f>TEXT(Table1[[#This Row],[Date]], "YYYY-mm")</f>
        <v>2024-01</v>
      </c>
      <c r="C1113" s="2" t="s">
        <v>22</v>
      </c>
      <c r="D1113" s="2" t="s">
        <v>13</v>
      </c>
      <c r="E1113" s="2">
        <v>8</v>
      </c>
      <c r="F1113" s="2">
        <v>1010.63</v>
      </c>
      <c r="G1113" s="8">
        <f>Table1[[#This Row],[Quantity]]*Table1[[#This Row],[Price]]</f>
        <v>8085.04</v>
      </c>
    </row>
    <row r="1114" spans="1:7" ht="21" customHeight="1" x14ac:dyDescent="0.3">
      <c r="A1114" s="3" t="s">
        <v>35</v>
      </c>
      <c r="B1114" s="3" t="str">
        <f>TEXT(Table1[[#This Row],[Date]], "YYYY-mm")</f>
        <v>2024-08</v>
      </c>
      <c r="C1114" s="4" t="s">
        <v>39</v>
      </c>
      <c r="D1114" s="4" t="s">
        <v>8</v>
      </c>
      <c r="E1114" s="4">
        <v>12</v>
      </c>
      <c r="F1114" s="4">
        <v>3.45</v>
      </c>
      <c r="G1114" s="9">
        <f>Table1[[#This Row],[Quantity]]*Table1[[#This Row],[Price]]</f>
        <v>41.400000000000006</v>
      </c>
    </row>
    <row r="1115" spans="1:7" ht="21" customHeight="1" x14ac:dyDescent="0.3">
      <c r="A1115" s="1" t="s">
        <v>70</v>
      </c>
      <c r="B1115" s="1" t="str">
        <f>TEXT(Table1[[#This Row],[Date]], "YYYY-mm")</f>
        <v>2024-06</v>
      </c>
      <c r="C1115" s="2" t="s">
        <v>27</v>
      </c>
      <c r="D1115" s="2" t="s">
        <v>8</v>
      </c>
      <c r="E1115" s="2">
        <v>15</v>
      </c>
      <c r="F1115" s="2">
        <v>132.07</v>
      </c>
      <c r="G1115" s="8">
        <f>Table1[[#This Row],[Quantity]]*Table1[[#This Row],[Price]]</f>
        <v>1981.05</v>
      </c>
    </row>
    <row r="1116" spans="1:7" ht="21" customHeight="1" x14ac:dyDescent="0.3">
      <c r="A1116" s="3" t="s">
        <v>267</v>
      </c>
      <c r="B1116" s="3" t="str">
        <f>TEXT(Table1[[#This Row],[Date]], "YYYY-mm")</f>
        <v>2024-08</v>
      </c>
      <c r="C1116" s="4" t="s">
        <v>7</v>
      </c>
      <c r="D1116" s="4" t="s">
        <v>8</v>
      </c>
      <c r="E1116" s="4">
        <v>10</v>
      </c>
      <c r="F1116" s="4">
        <v>23.07</v>
      </c>
      <c r="G1116" s="9">
        <f>Table1[[#This Row],[Quantity]]*Table1[[#This Row],[Price]]</f>
        <v>230.7</v>
      </c>
    </row>
    <row r="1117" spans="1:7" ht="21" customHeight="1" x14ac:dyDescent="0.3">
      <c r="A1117" s="1" t="s">
        <v>326</v>
      </c>
      <c r="B1117" s="1" t="str">
        <f>TEXT(Table1[[#This Row],[Date]], "YYYY-mm")</f>
        <v>2024-12</v>
      </c>
      <c r="C1117" s="2" t="s">
        <v>7</v>
      </c>
      <c r="D1117" s="2" t="s">
        <v>8</v>
      </c>
      <c r="E1117" s="2">
        <v>15</v>
      </c>
      <c r="F1117" s="2">
        <v>58.3</v>
      </c>
      <c r="G1117" s="8">
        <f>Table1[[#This Row],[Quantity]]*Table1[[#This Row],[Price]]</f>
        <v>874.5</v>
      </c>
    </row>
    <row r="1118" spans="1:7" ht="21" customHeight="1" x14ac:dyDescent="0.3">
      <c r="A1118" s="3" t="s">
        <v>307</v>
      </c>
      <c r="B1118" s="3" t="str">
        <f>TEXT(Table1[[#This Row],[Date]], "YYYY-mm")</f>
        <v>2024-09</v>
      </c>
      <c r="C1118" s="4" t="s">
        <v>25</v>
      </c>
      <c r="D1118" s="4" t="s">
        <v>19</v>
      </c>
      <c r="E1118" s="4">
        <v>4</v>
      </c>
      <c r="F1118" s="4">
        <v>630.79</v>
      </c>
      <c r="G1118" s="9">
        <f>Table1[[#This Row],[Quantity]]*Table1[[#This Row],[Price]]</f>
        <v>2523.16</v>
      </c>
    </row>
    <row r="1119" spans="1:7" ht="21" customHeight="1" x14ac:dyDescent="0.3">
      <c r="A1119" s="1" t="s">
        <v>113</v>
      </c>
      <c r="B1119" s="1" t="str">
        <f>TEXT(Table1[[#This Row],[Date]], "YYYY-mm")</f>
        <v>2024-05</v>
      </c>
      <c r="C1119" s="2" t="s">
        <v>15</v>
      </c>
      <c r="D1119" s="2" t="s">
        <v>8</v>
      </c>
      <c r="E1119" s="2">
        <v>13</v>
      </c>
      <c r="F1119" s="2">
        <v>7.64</v>
      </c>
      <c r="G1119" s="8">
        <f>Table1[[#This Row],[Quantity]]*Table1[[#This Row],[Price]]</f>
        <v>99.32</v>
      </c>
    </row>
    <row r="1120" spans="1:7" ht="21" customHeight="1" x14ac:dyDescent="0.3">
      <c r="A1120" s="3" t="s">
        <v>275</v>
      </c>
      <c r="B1120" s="3" t="str">
        <f>TEXT(Table1[[#This Row],[Date]], "YYYY-mm")</f>
        <v>2024-11</v>
      </c>
      <c r="C1120" s="4" t="s">
        <v>39</v>
      </c>
      <c r="D1120" s="4" t="s">
        <v>8</v>
      </c>
      <c r="E1120" s="4">
        <v>1</v>
      </c>
      <c r="F1120" s="4">
        <v>2.64</v>
      </c>
      <c r="G1120" s="9">
        <f>Table1[[#This Row],[Quantity]]*Table1[[#This Row],[Price]]</f>
        <v>2.64</v>
      </c>
    </row>
    <row r="1121" spans="1:7" ht="21" customHeight="1" x14ac:dyDescent="0.3">
      <c r="A1121" s="1" t="s">
        <v>108</v>
      </c>
      <c r="B1121" s="1" t="str">
        <f>TEXT(Table1[[#This Row],[Date]], "YYYY-mm")</f>
        <v>2024-05</v>
      </c>
      <c r="C1121" s="2" t="s">
        <v>25</v>
      </c>
      <c r="D1121" s="2" t="s">
        <v>19</v>
      </c>
      <c r="E1121" s="2">
        <v>7</v>
      </c>
      <c r="F1121" s="2">
        <v>1071.17</v>
      </c>
      <c r="G1121" s="8">
        <f>Table1[[#This Row],[Quantity]]*Table1[[#This Row],[Price]]</f>
        <v>7498.1900000000005</v>
      </c>
    </row>
    <row r="1122" spans="1:7" ht="21" customHeight="1" x14ac:dyDescent="0.3">
      <c r="A1122" s="3" t="s">
        <v>113</v>
      </c>
      <c r="B1122" s="3" t="str">
        <f>TEXT(Table1[[#This Row],[Date]], "YYYY-mm")</f>
        <v>2024-05</v>
      </c>
      <c r="C1122" s="4" t="s">
        <v>15</v>
      </c>
      <c r="D1122" s="4" t="s">
        <v>8</v>
      </c>
      <c r="E1122" s="4">
        <v>11</v>
      </c>
      <c r="F1122" s="4">
        <v>9.6199999999999992</v>
      </c>
      <c r="G1122" s="9">
        <f>Table1[[#This Row],[Quantity]]*Table1[[#This Row],[Price]]</f>
        <v>105.82</v>
      </c>
    </row>
    <row r="1123" spans="1:7" ht="21" customHeight="1" x14ac:dyDescent="0.3">
      <c r="A1123" s="1" t="s">
        <v>61</v>
      </c>
      <c r="B1123" s="1" t="str">
        <f>TEXT(Table1[[#This Row],[Date]], "YYYY-mm")</f>
        <v>2024-05</v>
      </c>
      <c r="C1123" s="2" t="s">
        <v>22</v>
      </c>
      <c r="D1123" s="2" t="s">
        <v>13</v>
      </c>
      <c r="E1123" s="2">
        <v>11</v>
      </c>
      <c r="F1123" s="2">
        <v>812.69</v>
      </c>
      <c r="G1123" s="8">
        <f>Table1[[#This Row],[Quantity]]*Table1[[#This Row],[Price]]</f>
        <v>8939.59</v>
      </c>
    </row>
    <row r="1124" spans="1:7" ht="21" customHeight="1" x14ac:dyDescent="0.3">
      <c r="A1124" s="3" t="s">
        <v>210</v>
      </c>
      <c r="B1124" s="3" t="str">
        <f>TEXT(Table1[[#This Row],[Date]], "YYYY-mm")</f>
        <v>2024-03</v>
      </c>
      <c r="C1124" s="4" t="s">
        <v>18</v>
      </c>
      <c r="D1124" s="4" t="s">
        <v>19</v>
      </c>
      <c r="E1124" s="4">
        <v>10</v>
      </c>
      <c r="F1124" s="4">
        <v>1245.9000000000001</v>
      </c>
      <c r="G1124" s="9">
        <f>Table1[[#This Row],[Quantity]]*Table1[[#This Row],[Price]]</f>
        <v>12459</v>
      </c>
    </row>
    <row r="1125" spans="1:7" ht="21" customHeight="1" x14ac:dyDescent="0.3">
      <c r="A1125" s="1" t="s">
        <v>131</v>
      </c>
      <c r="B1125" s="1" t="str">
        <f>TEXT(Table1[[#This Row],[Date]], "YYYY-mm")</f>
        <v>2024-02</v>
      </c>
      <c r="C1125" s="2" t="s">
        <v>18</v>
      </c>
      <c r="D1125" s="2" t="s">
        <v>19</v>
      </c>
      <c r="E1125" s="2">
        <v>6</v>
      </c>
      <c r="F1125" s="2">
        <v>759.66</v>
      </c>
      <c r="G1125" s="8">
        <f>Table1[[#This Row],[Quantity]]*Table1[[#This Row],[Price]]</f>
        <v>4557.96</v>
      </c>
    </row>
    <row r="1126" spans="1:7" ht="21" customHeight="1" x14ac:dyDescent="0.3">
      <c r="A1126" s="3" t="s">
        <v>113</v>
      </c>
      <c r="B1126" s="3" t="str">
        <f>TEXT(Table1[[#This Row],[Date]], "YYYY-mm")</f>
        <v>2024-05</v>
      </c>
      <c r="C1126" s="4" t="s">
        <v>10</v>
      </c>
      <c r="D1126" s="4" t="s">
        <v>8</v>
      </c>
      <c r="E1126" s="4">
        <v>1</v>
      </c>
      <c r="F1126" s="4">
        <v>103.73</v>
      </c>
      <c r="G1126" s="9">
        <f>Table1[[#This Row],[Quantity]]*Table1[[#This Row],[Price]]</f>
        <v>103.73</v>
      </c>
    </row>
    <row r="1127" spans="1:7" ht="21" customHeight="1" x14ac:dyDescent="0.3">
      <c r="A1127" s="1" t="s">
        <v>185</v>
      </c>
      <c r="B1127" s="1" t="str">
        <f>TEXT(Table1[[#This Row],[Date]], "YYYY-mm")</f>
        <v>2024-01</v>
      </c>
      <c r="C1127" s="2" t="s">
        <v>7</v>
      </c>
      <c r="D1127" s="2" t="s">
        <v>8</v>
      </c>
      <c r="E1127" s="2">
        <v>3</v>
      </c>
      <c r="F1127" s="2">
        <v>65.06</v>
      </c>
      <c r="G1127" s="8">
        <f>Table1[[#This Row],[Quantity]]*Table1[[#This Row],[Price]]</f>
        <v>195.18</v>
      </c>
    </row>
    <row r="1128" spans="1:7" ht="21" customHeight="1" x14ac:dyDescent="0.3">
      <c r="A1128" s="3" t="s">
        <v>165</v>
      </c>
      <c r="B1128" s="3" t="str">
        <f>TEXT(Table1[[#This Row],[Date]], "YYYY-mm")</f>
        <v>2024-12</v>
      </c>
      <c r="C1128" s="4" t="s">
        <v>10</v>
      </c>
      <c r="D1128" s="4" t="s">
        <v>8</v>
      </c>
      <c r="E1128" s="4">
        <v>6</v>
      </c>
      <c r="F1128" s="4">
        <v>48.45</v>
      </c>
      <c r="G1128" s="9">
        <f>Table1[[#This Row],[Quantity]]*Table1[[#This Row],[Price]]</f>
        <v>290.70000000000005</v>
      </c>
    </row>
    <row r="1129" spans="1:7" ht="21" customHeight="1" x14ac:dyDescent="0.3">
      <c r="A1129" s="1" t="s">
        <v>58</v>
      </c>
      <c r="B1129" s="1" t="str">
        <f>TEXT(Table1[[#This Row],[Date]], "YYYY-mm")</f>
        <v>2024-01</v>
      </c>
      <c r="C1129" s="2" t="s">
        <v>15</v>
      </c>
      <c r="D1129" s="2" t="s">
        <v>8</v>
      </c>
      <c r="E1129" s="2">
        <v>14</v>
      </c>
      <c r="F1129" s="2">
        <v>5.28</v>
      </c>
      <c r="G1129" s="8">
        <f>Table1[[#This Row],[Quantity]]*Table1[[#This Row],[Price]]</f>
        <v>73.92</v>
      </c>
    </row>
    <row r="1130" spans="1:7" ht="21" customHeight="1" x14ac:dyDescent="0.3">
      <c r="A1130" s="3" t="s">
        <v>209</v>
      </c>
      <c r="B1130" s="3" t="str">
        <f>TEXT(Table1[[#This Row],[Date]], "YYYY-mm")</f>
        <v>2024-04</v>
      </c>
      <c r="C1130" s="4" t="s">
        <v>7</v>
      </c>
      <c r="D1130" s="4" t="s">
        <v>8</v>
      </c>
      <c r="E1130" s="4">
        <v>10</v>
      </c>
      <c r="F1130" s="4">
        <v>59.57</v>
      </c>
      <c r="G1130" s="9">
        <f>Table1[[#This Row],[Quantity]]*Table1[[#This Row],[Price]]</f>
        <v>595.70000000000005</v>
      </c>
    </row>
    <row r="1131" spans="1:7" ht="21" customHeight="1" x14ac:dyDescent="0.3">
      <c r="A1131" s="1" t="s">
        <v>253</v>
      </c>
      <c r="B1131" s="1" t="str">
        <f>TEXT(Table1[[#This Row],[Date]], "YYYY-mm")</f>
        <v>2024-01</v>
      </c>
      <c r="C1131" s="2" t="s">
        <v>10</v>
      </c>
      <c r="D1131" s="2" t="s">
        <v>8</v>
      </c>
      <c r="E1131" s="2">
        <v>3</v>
      </c>
      <c r="F1131" s="2">
        <v>110.3</v>
      </c>
      <c r="G1131" s="8">
        <f>Table1[[#This Row],[Quantity]]*Table1[[#This Row],[Price]]</f>
        <v>330.9</v>
      </c>
    </row>
    <row r="1132" spans="1:7" ht="21" customHeight="1" x14ac:dyDescent="0.3">
      <c r="A1132" s="3" t="s">
        <v>308</v>
      </c>
      <c r="B1132" s="3" t="str">
        <f>TEXT(Table1[[#This Row],[Date]], "YYYY-mm")</f>
        <v>2024-11</v>
      </c>
      <c r="C1132" s="4" t="s">
        <v>15</v>
      </c>
      <c r="D1132" s="4" t="s">
        <v>8</v>
      </c>
      <c r="E1132" s="4">
        <v>9</v>
      </c>
      <c r="F1132" s="4">
        <v>6.87</v>
      </c>
      <c r="G1132" s="9">
        <f>Table1[[#This Row],[Quantity]]*Table1[[#This Row],[Price]]</f>
        <v>61.83</v>
      </c>
    </row>
    <row r="1133" spans="1:7" ht="21" customHeight="1" x14ac:dyDescent="0.3">
      <c r="A1133" s="1" t="s">
        <v>112</v>
      </c>
      <c r="B1133" s="1" t="str">
        <f>TEXT(Table1[[#This Row],[Date]], "YYYY-mm")</f>
        <v>2024-02</v>
      </c>
      <c r="C1133" s="2" t="s">
        <v>39</v>
      </c>
      <c r="D1133" s="2" t="s">
        <v>8</v>
      </c>
      <c r="E1133" s="2">
        <v>13</v>
      </c>
      <c r="F1133" s="2">
        <v>7.42</v>
      </c>
      <c r="G1133" s="8">
        <f>Table1[[#This Row],[Quantity]]*Table1[[#This Row],[Price]]</f>
        <v>96.46</v>
      </c>
    </row>
    <row r="1134" spans="1:7" ht="21" customHeight="1" x14ac:dyDescent="0.3">
      <c r="A1134" s="3" t="s">
        <v>203</v>
      </c>
      <c r="B1134" s="3" t="str">
        <f>TEXT(Table1[[#This Row],[Date]], "YYYY-mm")</f>
        <v>2024-03</v>
      </c>
      <c r="C1134" s="4" t="s">
        <v>22</v>
      </c>
      <c r="D1134" s="4" t="s">
        <v>13</v>
      </c>
      <c r="E1134" s="4">
        <v>11</v>
      </c>
      <c r="F1134" s="4">
        <v>1864.13</v>
      </c>
      <c r="G1134" s="9">
        <f>Table1[[#This Row],[Quantity]]*Table1[[#This Row],[Price]]</f>
        <v>20505.43</v>
      </c>
    </row>
    <row r="1135" spans="1:7" ht="21" customHeight="1" x14ac:dyDescent="0.3">
      <c r="A1135" s="1" t="s">
        <v>31</v>
      </c>
      <c r="B1135" s="1" t="str">
        <f>TEXT(Table1[[#This Row],[Date]], "YYYY-mm")</f>
        <v>2024-08</v>
      </c>
      <c r="C1135" s="2" t="s">
        <v>15</v>
      </c>
      <c r="D1135" s="2" t="s">
        <v>8</v>
      </c>
      <c r="E1135" s="2">
        <v>1</v>
      </c>
      <c r="F1135" s="2">
        <v>3.2</v>
      </c>
      <c r="G1135" s="8">
        <f>Table1[[#This Row],[Quantity]]*Table1[[#This Row],[Price]]</f>
        <v>3.2</v>
      </c>
    </row>
    <row r="1136" spans="1:7" ht="21" customHeight="1" x14ac:dyDescent="0.3">
      <c r="A1136" s="3" t="s">
        <v>265</v>
      </c>
      <c r="B1136" s="3" t="str">
        <f>TEXT(Table1[[#This Row],[Date]], "YYYY-mm")</f>
        <v>2024-09</v>
      </c>
      <c r="C1136" s="4" t="s">
        <v>12</v>
      </c>
      <c r="D1136" s="4" t="s">
        <v>13</v>
      </c>
      <c r="E1136" s="4">
        <v>13</v>
      </c>
      <c r="F1136" s="4">
        <v>314.55</v>
      </c>
      <c r="G1136" s="9">
        <f>Table1[[#This Row],[Quantity]]*Table1[[#This Row],[Price]]</f>
        <v>4089.15</v>
      </c>
    </row>
    <row r="1137" spans="1:7" ht="21" customHeight="1" x14ac:dyDescent="0.3">
      <c r="A1137" s="1" t="s">
        <v>342</v>
      </c>
      <c r="B1137" s="1" t="str">
        <f>TEXT(Table1[[#This Row],[Date]], "YYYY-mm")</f>
        <v>2024-01</v>
      </c>
      <c r="C1137" s="2" t="s">
        <v>22</v>
      </c>
      <c r="D1137" s="2" t="s">
        <v>13</v>
      </c>
      <c r="E1137" s="2">
        <v>12</v>
      </c>
      <c r="F1137" s="2">
        <v>1632.54</v>
      </c>
      <c r="G1137" s="8">
        <f>Table1[[#This Row],[Quantity]]*Table1[[#This Row],[Price]]</f>
        <v>19590.48</v>
      </c>
    </row>
    <row r="1138" spans="1:7" ht="21" customHeight="1" x14ac:dyDescent="0.3">
      <c r="A1138" s="3" t="s">
        <v>219</v>
      </c>
      <c r="B1138" s="3" t="str">
        <f>TEXT(Table1[[#This Row],[Date]], "YYYY-mm")</f>
        <v>2024-04</v>
      </c>
      <c r="C1138" s="4" t="s">
        <v>22</v>
      </c>
      <c r="D1138" s="4" t="s">
        <v>13</v>
      </c>
      <c r="E1138" s="4">
        <v>10</v>
      </c>
      <c r="F1138" s="4">
        <v>1539.18</v>
      </c>
      <c r="G1138" s="9">
        <f>Table1[[#This Row],[Quantity]]*Table1[[#This Row],[Price]]</f>
        <v>15391.800000000001</v>
      </c>
    </row>
    <row r="1139" spans="1:7" ht="21" customHeight="1" x14ac:dyDescent="0.3">
      <c r="A1139" s="1" t="s">
        <v>327</v>
      </c>
      <c r="B1139" s="1" t="str">
        <f>TEXT(Table1[[#This Row],[Date]], "YYYY-mm")</f>
        <v>2024-10</v>
      </c>
      <c r="C1139" s="2" t="s">
        <v>12</v>
      </c>
      <c r="D1139" s="2" t="s">
        <v>13</v>
      </c>
      <c r="E1139" s="2">
        <v>2</v>
      </c>
      <c r="F1139" s="2">
        <v>431.02</v>
      </c>
      <c r="G1139" s="8">
        <f>Table1[[#This Row],[Quantity]]*Table1[[#This Row],[Price]]</f>
        <v>862.04</v>
      </c>
    </row>
    <row r="1140" spans="1:7" ht="21" customHeight="1" x14ac:dyDescent="0.3">
      <c r="A1140" s="3" t="s">
        <v>171</v>
      </c>
      <c r="B1140" s="3" t="str">
        <f>TEXT(Table1[[#This Row],[Date]], "YYYY-mm")</f>
        <v>2024-12</v>
      </c>
      <c r="C1140" s="4" t="s">
        <v>44</v>
      </c>
      <c r="D1140" s="4" t="s">
        <v>8</v>
      </c>
      <c r="E1140" s="4">
        <v>10</v>
      </c>
      <c r="F1140" s="4">
        <v>13.04</v>
      </c>
      <c r="G1140" s="9">
        <f>Table1[[#This Row],[Quantity]]*Table1[[#This Row],[Price]]</f>
        <v>130.39999999999998</v>
      </c>
    </row>
    <row r="1141" spans="1:7" ht="21" customHeight="1" x14ac:dyDescent="0.3">
      <c r="A1141" s="1" t="s">
        <v>143</v>
      </c>
      <c r="B1141" s="1" t="str">
        <f>TEXT(Table1[[#This Row],[Date]], "YYYY-mm")</f>
        <v>2024-11</v>
      </c>
      <c r="C1141" s="2" t="s">
        <v>39</v>
      </c>
      <c r="D1141" s="2" t="s">
        <v>8</v>
      </c>
      <c r="E1141" s="2">
        <v>9</v>
      </c>
      <c r="F1141" s="2">
        <v>2.52</v>
      </c>
      <c r="G1141" s="8">
        <f>Table1[[#This Row],[Quantity]]*Table1[[#This Row],[Price]]</f>
        <v>22.68</v>
      </c>
    </row>
    <row r="1142" spans="1:7" ht="21" customHeight="1" x14ac:dyDescent="0.3">
      <c r="A1142" s="3" t="s">
        <v>97</v>
      </c>
      <c r="B1142" s="3" t="str">
        <f>TEXT(Table1[[#This Row],[Date]], "YYYY-mm")</f>
        <v>2024-05</v>
      </c>
      <c r="C1142" s="4" t="s">
        <v>7</v>
      </c>
      <c r="D1142" s="4" t="s">
        <v>8</v>
      </c>
      <c r="E1142" s="4">
        <v>6</v>
      </c>
      <c r="F1142" s="4">
        <v>78.41</v>
      </c>
      <c r="G1142" s="9">
        <f>Table1[[#This Row],[Quantity]]*Table1[[#This Row],[Price]]</f>
        <v>470.46</v>
      </c>
    </row>
    <row r="1143" spans="1:7" ht="21" customHeight="1" x14ac:dyDescent="0.3">
      <c r="A1143" s="1" t="s">
        <v>204</v>
      </c>
      <c r="B1143" s="1" t="str">
        <f>TEXT(Table1[[#This Row],[Date]], "YYYY-mm")</f>
        <v>2024-01</v>
      </c>
      <c r="C1143" s="2" t="s">
        <v>15</v>
      </c>
      <c r="D1143" s="2" t="s">
        <v>8</v>
      </c>
      <c r="E1143" s="2">
        <v>3</v>
      </c>
      <c r="F1143" s="2">
        <v>8.77</v>
      </c>
      <c r="G1143" s="8">
        <f>Table1[[#This Row],[Quantity]]*Table1[[#This Row],[Price]]</f>
        <v>26.31</v>
      </c>
    </row>
    <row r="1144" spans="1:7" ht="21" customHeight="1" x14ac:dyDescent="0.3">
      <c r="A1144" s="3" t="s">
        <v>60</v>
      </c>
      <c r="B1144" s="3" t="str">
        <f>TEXT(Table1[[#This Row],[Date]], "YYYY-mm")</f>
        <v>2024-11</v>
      </c>
      <c r="C1144" s="4" t="s">
        <v>12</v>
      </c>
      <c r="D1144" s="4" t="s">
        <v>13</v>
      </c>
      <c r="E1144" s="4">
        <v>15</v>
      </c>
      <c r="F1144" s="4">
        <v>552.13</v>
      </c>
      <c r="G1144" s="9">
        <f>Table1[[#This Row],[Quantity]]*Table1[[#This Row],[Price]]</f>
        <v>8281.9500000000007</v>
      </c>
    </row>
    <row r="1145" spans="1:7" ht="21" customHeight="1" x14ac:dyDescent="0.3">
      <c r="A1145" s="1" t="s">
        <v>6</v>
      </c>
      <c r="B1145" s="1" t="str">
        <f>TEXT(Table1[[#This Row],[Date]], "YYYY-mm")</f>
        <v>2024-09</v>
      </c>
      <c r="C1145" s="2" t="s">
        <v>44</v>
      </c>
      <c r="D1145" s="2" t="s">
        <v>8</v>
      </c>
      <c r="E1145" s="2">
        <v>14</v>
      </c>
      <c r="F1145" s="2">
        <v>16.86</v>
      </c>
      <c r="G1145" s="8">
        <f>Table1[[#This Row],[Quantity]]*Table1[[#This Row],[Price]]</f>
        <v>236.04</v>
      </c>
    </row>
    <row r="1146" spans="1:7" ht="21" customHeight="1" x14ac:dyDescent="0.3">
      <c r="A1146" s="3" t="s">
        <v>70</v>
      </c>
      <c r="B1146" s="3" t="str">
        <f>TEXT(Table1[[#This Row],[Date]], "YYYY-mm")</f>
        <v>2024-06</v>
      </c>
      <c r="C1146" s="4" t="s">
        <v>22</v>
      </c>
      <c r="D1146" s="4" t="s">
        <v>13</v>
      </c>
      <c r="E1146" s="4">
        <v>14</v>
      </c>
      <c r="F1146" s="4">
        <v>1181.6600000000001</v>
      </c>
      <c r="G1146" s="9">
        <f>Table1[[#This Row],[Quantity]]*Table1[[#This Row],[Price]]</f>
        <v>16543.240000000002</v>
      </c>
    </row>
    <row r="1147" spans="1:7" ht="21" customHeight="1" x14ac:dyDescent="0.3">
      <c r="A1147" s="1" t="s">
        <v>321</v>
      </c>
      <c r="B1147" s="1" t="str">
        <f>TEXT(Table1[[#This Row],[Date]], "YYYY-mm")</f>
        <v>2024-05</v>
      </c>
      <c r="C1147" s="2" t="s">
        <v>44</v>
      </c>
      <c r="D1147" s="2" t="s">
        <v>8</v>
      </c>
      <c r="E1147" s="2">
        <v>14</v>
      </c>
      <c r="F1147" s="2">
        <v>16.489999999999998</v>
      </c>
      <c r="G1147" s="8">
        <f>Table1[[#This Row],[Quantity]]*Table1[[#This Row],[Price]]</f>
        <v>230.85999999999999</v>
      </c>
    </row>
    <row r="1148" spans="1:7" ht="21" customHeight="1" x14ac:dyDescent="0.3">
      <c r="A1148" s="3" t="s">
        <v>238</v>
      </c>
      <c r="B1148" s="3" t="str">
        <f>TEXT(Table1[[#This Row],[Date]], "YYYY-mm")</f>
        <v>2024-07</v>
      </c>
      <c r="C1148" s="4" t="s">
        <v>39</v>
      </c>
      <c r="D1148" s="4" t="s">
        <v>8</v>
      </c>
      <c r="E1148" s="4">
        <v>6</v>
      </c>
      <c r="F1148" s="4">
        <v>5.23</v>
      </c>
      <c r="G1148" s="9">
        <f>Table1[[#This Row],[Quantity]]*Table1[[#This Row],[Price]]</f>
        <v>31.380000000000003</v>
      </c>
    </row>
    <row r="1149" spans="1:7" ht="21" customHeight="1" x14ac:dyDescent="0.3">
      <c r="A1149" s="1" t="s">
        <v>201</v>
      </c>
      <c r="B1149" s="1" t="str">
        <f>TEXT(Table1[[#This Row],[Date]], "YYYY-mm")</f>
        <v>2024-10</v>
      </c>
      <c r="C1149" s="2" t="s">
        <v>34</v>
      </c>
      <c r="D1149" s="2" t="s">
        <v>19</v>
      </c>
      <c r="E1149" s="2">
        <v>15</v>
      </c>
      <c r="F1149" s="2">
        <v>843.96</v>
      </c>
      <c r="G1149" s="8">
        <f>Table1[[#This Row],[Quantity]]*Table1[[#This Row],[Price]]</f>
        <v>12659.400000000001</v>
      </c>
    </row>
    <row r="1150" spans="1:7" ht="21" customHeight="1" x14ac:dyDescent="0.3">
      <c r="A1150" s="3" t="s">
        <v>80</v>
      </c>
      <c r="B1150" s="3" t="str">
        <f>TEXT(Table1[[#This Row],[Date]], "YYYY-mm")</f>
        <v>2024-01</v>
      </c>
      <c r="C1150" s="4" t="s">
        <v>22</v>
      </c>
      <c r="D1150" s="4" t="s">
        <v>13</v>
      </c>
      <c r="E1150" s="4">
        <v>3</v>
      </c>
      <c r="F1150" s="4">
        <v>1015.78</v>
      </c>
      <c r="G1150" s="9">
        <f>Table1[[#This Row],[Quantity]]*Table1[[#This Row],[Price]]</f>
        <v>3047.34</v>
      </c>
    </row>
    <row r="1151" spans="1:7" ht="21" customHeight="1" x14ac:dyDescent="0.3">
      <c r="A1151" s="1" t="s">
        <v>309</v>
      </c>
      <c r="B1151" s="1" t="str">
        <f>TEXT(Table1[[#This Row],[Date]], "YYYY-mm")</f>
        <v>2024-01</v>
      </c>
      <c r="C1151" s="2" t="s">
        <v>29</v>
      </c>
      <c r="D1151" s="2" t="s">
        <v>19</v>
      </c>
      <c r="E1151" s="2">
        <v>9</v>
      </c>
      <c r="F1151" s="2">
        <v>2120.1</v>
      </c>
      <c r="G1151" s="8">
        <f>Table1[[#This Row],[Quantity]]*Table1[[#This Row],[Price]]</f>
        <v>19080.899999999998</v>
      </c>
    </row>
    <row r="1152" spans="1:7" ht="21" customHeight="1" x14ac:dyDescent="0.3">
      <c r="A1152" s="3" t="s">
        <v>199</v>
      </c>
      <c r="B1152" s="3" t="str">
        <f>TEXT(Table1[[#This Row],[Date]], "YYYY-mm")</f>
        <v>2024-09</v>
      </c>
      <c r="C1152" s="4" t="s">
        <v>25</v>
      </c>
      <c r="D1152" s="4" t="s">
        <v>19</v>
      </c>
      <c r="E1152" s="4">
        <v>2</v>
      </c>
      <c r="F1152" s="4">
        <v>380.57</v>
      </c>
      <c r="G1152" s="9">
        <f>Table1[[#This Row],[Quantity]]*Table1[[#This Row],[Price]]</f>
        <v>761.14</v>
      </c>
    </row>
    <row r="1153" spans="1:7" ht="21" customHeight="1" x14ac:dyDescent="0.3">
      <c r="A1153" s="1" t="s">
        <v>238</v>
      </c>
      <c r="B1153" s="1" t="str">
        <f>TEXT(Table1[[#This Row],[Date]], "YYYY-mm")</f>
        <v>2024-07</v>
      </c>
      <c r="C1153" s="2" t="s">
        <v>10</v>
      </c>
      <c r="D1153" s="2" t="s">
        <v>8</v>
      </c>
      <c r="E1153" s="2">
        <v>5</v>
      </c>
      <c r="F1153" s="2">
        <v>101.23</v>
      </c>
      <c r="G1153" s="8">
        <f>Table1[[#This Row],[Quantity]]*Table1[[#This Row],[Price]]</f>
        <v>506.15000000000003</v>
      </c>
    </row>
    <row r="1154" spans="1:7" ht="21" customHeight="1" x14ac:dyDescent="0.3">
      <c r="A1154" s="3" t="s">
        <v>204</v>
      </c>
      <c r="B1154" s="3" t="str">
        <f>TEXT(Table1[[#This Row],[Date]], "YYYY-mm")</f>
        <v>2024-01</v>
      </c>
      <c r="C1154" s="4" t="s">
        <v>10</v>
      </c>
      <c r="D1154" s="4" t="s">
        <v>8</v>
      </c>
      <c r="E1154" s="4">
        <v>15</v>
      </c>
      <c r="F1154" s="4">
        <v>94.41</v>
      </c>
      <c r="G1154" s="9">
        <f>Table1[[#This Row],[Quantity]]*Table1[[#This Row],[Price]]</f>
        <v>1416.1499999999999</v>
      </c>
    </row>
    <row r="1155" spans="1:7" ht="21" customHeight="1" x14ac:dyDescent="0.3">
      <c r="A1155" s="1" t="s">
        <v>337</v>
      </c>
      <c r="B1155" s="1" t="str">
        <f>TEXT(Table1[[#This Row],[Date]], "YYYY-mm")</f>
        <v>2024-05</v>
      </c>
      <c r="C1155" s="2" t="s">
        <v>44</v>
      </c>
      <c r="D1155" s="2" t="s">
        <v>8</v>
      </c>
      <c r="E1155" s="2">
        <v>15</v>
      </c>
      <c r="F1155" s="2">
        <v>7.55</v>
      </c>
      <c r="G1155" s="8">
        <f>Table1[[#This Row],[Quantity]]*Table1[[#This Row],[Price]]</f>
        <v>113.25</v>
      </c>
    </row>
    <row r="1156" spans="1:7" ht="21" customHeight="1" x14ac:dyDescent="0.3">
      <c r="A1156" s="3" t="s">
        <v>299</v>
      </c>
      <c r="B1156" s="3" t="str">
        <f>TEXT(Table1[[#This Row],[Date]], "YYYY-mm")</f>
        <v>2024-11</v>
      </c>
      <c r="C1156" s="4" t="s">
        <v>22</v>
      </c>
      <c r="D1156" s="4" t="s">
        <v>13</v>
      </c>
      <c r="E1156" s="4">
        <v>10</v>
      </c>
      <c r="F1156" s="4">
        <v>500.21</v>
      </c>
      <c r="G1156" s="9">
        <f>Table1[[#This Row],[Quantity]]*Table1[[#This Row],[Price]]</f>
        <v>5002.0999999999995</v>
      </c>
    </row>
    <row r="1157" spans="1:7" ht="21" customHeight="1" x14ac:dyDescent="0.3">
      <c r="A1157" s="1" t="s">
        <v>14</v>
      </c>
      <c r="B1157" s="1" t="str">
        <f>TEXT(Table1[[#This Row],[Date]], "YYYY-mm")</f>
        <v>2024-05</v>
      </c>
      <c r="C1157" s="2" t="s">
        <v>15</v>
      </c>
      <c r="D1157" s="2" t="s">
        <v>8</v>
      </c>
      <c r="E1157" s="2">
        <v>7</v>
      </c>
      <c r="F1157" s="2">
        <v>8.32</v>
      </c>
      <c r="G1157" s="8">
        <f>Table1[[#This Row],[Quantity]]*Table1[[#This Row],[Price]]</f>
        <v>58.24</v>
      </c>
    </row>
    <row r="1158" spans="1:7" ht="21" customHeight="1" x14ac:dyDescent="0.3">
      <c r="A1158" s="3" t="s">
        <v>361</v>
      </c>
      <c r="B1158" s="3" t="str">
        <f>TEXT(Table1[[#This Row],[Date]], "YYYY-mm")</f>
        <v>2024-04</v>
      </c>
      <c r="C1158" s="4" t="s">
        <v>7</v>
      </c>
      <c r="D1158" s="4" t="s">
        <v>8</v>
      </c>
      <c r="E1158" s="4">
        <v>6</v>
      </c>
      <c r="F1158" s="4">
        <v>55.4</v>
      </c>
      <c r="G1158" s="9">
        <f>Table1[[#This Row],[Quantity]]*Table1[[#This Row],[Price]]</f>
        <v>332.4</v>
      </c>
    </row>
    <row r="1159" spans="1:7" ht="21" customHeight="1" x14ac:dyDescent="0.3">
      <c r="A1159" s="1" t="s">
        <v>87</v>
      </c>
      <c r="B1159" s="1" t="str">
        <f>TEXT(Table1[[#This Row],[Date]], "YYYY-mm")</f>
        <v>2024-02</v>
      </c>
      <c r="C1159" s="2" t="s">
        <v>12</v>
      </c>
      <c r="D1159" s="2" t="s">
        <v>13</v>
      </c>
      <c r="E1159" s="2">
        <v>6</v>
      </c>
      <c r="F1159" s="2">
        <v>351.31</v>
      </c>
      <c r="G1159" s="8">
        <f>Table1[[#This Row],[Quantity]]*Table1[[#This Row],[Price]]</f>
        <v>2107.86</v>
      </c>
    </row>
    <row r="1160" spans="1:7" ht="21" customHeight="1" x14ac:dyDescent="0.3">
      <c r="A1160" s="3" t="s">
        <v>59</v>
      </c>
      <c r="B1160" s="3" t="str">
        <f>TEXT(Table1[[#This Row],[Date]], "YYYY-mm")</f>
        <v>2024-10</v>
      </c>
      <c r="C1160" s="4" t="s">
        <v>22</v>
      </c>
      <c r="D1160" s="4" t="s">
        <v>13</v>
      </c>
      <c r="E1160" s="4">
        <v>7</v>
      </c>
      <c r="F1160" s="4">
        <v>997.51</v>
      </c>
      <c r="G1160" s="9">
        <f>Table1[[#This Row],[Quantity]]*Table1[[#This Row],[Price]]</f>
        <v>6982.57</v>
      </c>
    </row>
    <row r="1161" spans="1:7" ht="21" customHeight="1" x14ac:dyDescent="0.3">
      <c r="A1161" s="1" t="s">
        <v>189</v>
      </c>
      <c r="B1161" s="1" t="str">
        <f>TEXT(Table1[[#This Row],[Date]], "YYYY-mm")</f>
        <v>2024-09</v>
      </c>
      <c r="C1161" s="2" t="s">
        <v>18</v>
      </c>
      <c r="D1161" s="2" t="s">
        <v>19</v>
      </c>
      <c r="E1161" s="2">
        <v>11</v>
      </c>
      <c r="F1161" s="2">
        <v>1248.8699999999999</v>
      </c>
      <c r="G1161" s="8">
        <f>Table1[[#This Row],[Quantity]]*Table1[[#This Row],[Price]]</f>
        <v>13737.57</v>
      </c>
    </row>
    <row r="1162" spans="1:7" ht="21" customHeight="1" x14ac:dyDescent="0.3">
      <c r="A1162" s="3" t="s">
        <v>116</v>
      </c>
      <c r="B1162" s="3" t="str">
        <f>TEXT(Table1[[#This Row],[Date]], "YYYY-mm")</f>
        <v>2024-10</v>
      </c>
      <c r="C1162" s="4" t="s">
        <v>25</v>
      </c>
      <c r="D1162" s="4" t="s">
        <v>19</v>
      </c>
      <c r="E1162" s="4">
        <v>7</v>
      </c>
      <c r="F1162" s="4">
        <v>812.15</v>
      </c>
      <c r="G1162" s="9">
        <f>Table1[[#This Row],[Quantity]]*Table1[[#This Row],[Price]]</f>
        <v>5685.05</v>
      </c>
    </row>
    <row r="1163" spans="1:7" ht="21" customHeight="1" x14ac:dyDescent="0.3">
      <c r="A1163" s="1" t="s">
        <v>271</v>
      </c>
      <c r="B1163" s="1" t="str">
        <f>TEXT(Table1[[#This Row],[Date]], "YYYY-mm")</f>
        <v>2024-04</v>
      </c>
      <c r="C1163" s="2" t="s">
        <v>27</v>
      </c>
      <c r="D1163" s="2" t="s">
        <v>8</v>
      </c>
      <c r="E1163" s="2">
        <v>14</v>
      </c>
      <c r="F1163" s="2">
        <v>209.94</v>
      </c>
      <c r="G1163" s="8">
        <f>Table1[[#This Row],[Quantity]]*Table1[[#This Row],[Price]]</f>
        <v>2939.16</v>
      </c>
    </row>
    <row r="1164" spans="1:7" ht="21" customHeight="1" x14ac:dyDescent="0.3">
      <c r="A1164" s="3" t="s">
        <v>137</v>
      </c>
      <c r="B1164" s="3" t="str">
        <f>TEXT(Table1[[#This Row],[Date]], "YYYY-mm")</f>
        <v>2024-12</v>
      </c>
      <c r="C1164" s="4" t="s">
        <v>34</v>
      </c>
      <c r="D1164" s="4" t="s">
        <v>19</v>
      </c>
      <c r="E1164" s="4">
        <v>3</v>
      </c>
      <c r="F1164" s="4">
        <v>1262.1099999999999</v>
      </c>
      <c r="G1164" s="9">
        <f>Table1[[#This Row],[Quantity]]*Table1[[#This Row],[Price]]</f>
        <v>3786.33</v>
      </c>
    </row>
    <row r="1165" spans="1:7" ht="21" customHeight="1" x14ac:dyDescent="0.3">
      <c r="A1165" s="1" t="s">
        <v>210</v>
      </c>
      <c r="B1165" s="1" t="str">
        <f>TEXT(Table1[[#This Row],[Date]], "YYYY-mm")</f>
        <v>2024-03</v>
      </c>
      <c r="C1165" s="2" t="s">
        <v>29</v>
      </c>
      <c r="D1165" s="2" t="s">
        <v>19</v>
      </c>
      <c r="E1165" s="2">
        <v>8</v>
      </c>
      <c r="F1165" s="2">
        <v>2174.5700000000002</v>
      </c>
      <c r="G1165" s="8">
        <f>Table1[[#This Row],[Quantity]]*Table1[[#This Row],[Price]]</f>
        <v>17396.560000000001</v>
      </c>
    </row>
    <row r="1166" spans="1:7" ht="21" customHeight="1" x14ac:dyDescent="0.3">
      <c r="A1166" s="3" t="s">
        <v>359</v>
      </c>
      <c r="B1166" s="3" t="str">
        <f>TEXT(Table1[[#This Row],[Date]], "YYYY-mm")</f>
        <v>2024-09</v>
      </c>
      <c r="C1166" s="4" t="s">
        <v>27</v>
      </c>
      <c r="D1166" s="4" t="s">
        <v>8</v>
      </c>
      <c r="E1166" s="4">
        <v>13</v>
      </c>
      <c r="F1166" s="4">
        <v>115.85</v>
      </c>
      <c r="G1166" s="9">
        <f>Table1[[#This Row],[Quantity]]*Table1[[#This Row],[Price]]</f>
        <v>1506.05</v>
      </c>
    </row>
    <row r="1167" spans="1:7" ht="21" customHeight="1" x14ac:dyDescent="0.3">
      <c r="A1167" s="1" t="s">
        <v>233</v>
      </c>
      <c r="B1167" s="1" t="str">
        <f>TEXT(Table1[[#This Row],[Date]], "YYYY-mm")</f>
        <v>2024-07</v>
      </c>
      <c r="C1167" s="2" t="s">
        <v>15</v>
      </c>
      <c r="D1167" s="2" t="s">
        <v>8</v>
      </c>
      <c r="E1167" s="2">
        <v>12</v>
      </c>
      <c r="F1167" s="2">
        <v>9.8000000000000007</v>
      </c>
      <c r="G1167" s="8">
        <f>Table1[[#This Row],[Quantity]]*Table1[[#This Row],[Price]]</f>
        <v>117.60000000000001</v>
      </c>
    </row>
    <row r="1168" spans="1:7" ht="21" customHeight="1" x14ac:dyDescent="0.3">
      <c r="A1168" s="3" t="s">
        <v>202</v>
      </c>
      <c r="B1168" s="3" t="str">
        <f>TEXT(Table1[[#This Row],[Date]], "YYYY-mm")</f>
        <v>2024-09</v>
      </c>
      <c r="C1168" s="4" t="s">
        <v>29</v>
      </c>
      <c r="D1168" s="4" t="s">
        <v>19</v>
      </c>
      <c r="E1168" s="4">
        <v>15</v>
      </c>
      <c r="F1168" s="4">
        <v>2227.1</v>
      </c>
      <c r="G1168" s="9">
        <f>Table1[[#This Row],[Quantity]]*Table1[[#This Row],[Price]]</f>
        <v>33406.5</v>
      </c>
    </row>
    <row r="1169" spans="1:7" ht="21" customHeight="1" x14ac:dyDescent="0.3">
      <c r="A1169" s="1" t="s">
        <v>218</v>
      </c>
      <c r="B1169" s="1" t="str">
        <f>TEXT(Table1[[#This Row],[Date]], "YYYY-mm")</f>
        <v>2024-08</v>
      </c>
      <c r="C1169" s="2" t="s">
        <v>18</v>
      </c>
      <c r="D1169" s="2" t="s">
        <v>19</v>
      </c>
      <c r="E1169" s="2">
        <v>6</v>
      </c>
      <c r="F1169" s="2">
        <v>830.66</v>
      </c>
      <c r="G1169" s="8">
        <f>Table1[[#This Row],[Quantity]]*Table1[[#This Row],[Price]]</f>
        <v>4983.96</v>
      </c>
    </row>
    <row r="1170" spans="1:7" ht="21" customHeight="1" x14ac:dyDescent="0.3">
      <c r="A1170" s="3" t="s">
        <v>26</v>
      </c>
      <c r="B1170" s="3" t="str">
        <f>TEXT(Table1[[#This Row],[Date]], "YYYY-mm")</f>
        <v>2024-01</v>
      </c>
      <c r="C1170" s="4" t="s">
        <v>34</v>
      </c>
      <c r="D1170" s="4" t="s">
        <v>19</v>
      </c>
      <c r="E1170" s="4">
        <v>5</v>
      </c>
      <c r="F1170" s="4">
        <v>801.27</v>
      </c>
      <c r="G1170" s="9">
        <f>Table1[[#This Row],[Quantity]]*Table1[[#This Row],[Price]]</f>
        <v>4006.35</v>
      </c>
    </row>
    <row r="1171" spans="1:7" ht="21" customHeight="1" x14ac:dyDescent="0.3">
      <c r="A1171" s="1" t="s">
        <v>170</v>
      </c>
      <c r="B1171" s="1" t="str">
        <f>TEXT(Table1[[#This Row],[Date]], "YYYY-mm")</f>
        <v>2024-04</v>
      </c>
      <c r="C1171" s="2" t="s">
        <v>29</v>
      </c>
      <c r="D1171" s="2" t="s">
        <v>19</v>
      </c>
      <c r="E1171" s="2">
        <v>11</v>
      </c>
      <c r="F1171" s="2">
        <v>1649.55</v>
      </c>
      <c r="G1171" s="8">
        <f>Table1[[#This Row],[Quantity]]*Table1[[#This Row],[Price]]</f>
        <v>18145.05</v>
      </c>
    </row>
    <row r="1172" spans="1:7" ht="21" customHeight="1" x14ac:dyDescent="0.3">
      <c r="A1172" s="3" t="s">
        <v>53</v>
      </c>
      <c r="B1172" s="3" t="str">
        <f>TEXT(Table1[[#This Row],[Date]], "YYYY-mm")</f>
        <v>2024-05</v>
      </c>
      <c r="C1172" s="4" t="s">
        <v>15</v>
      </c>
      <c r="D1172" s="4" t="s">
        <v>8</v>
      </c>
      <c r="E1172" s="4">
        <v>8</v>
      </c>
      <c r="F1172" s="4">
        <v>9.4600000000000009</v>
      </c>
      <c r="G1172" s="9">
        <f>Table1[[#This Row],[Quantity]]*Table1[[#This Row],[Price]]</f>
        <v>75.680000000000007</v>
      </c>
    </row>
    <row r="1173" spans="1:7" ht="21" customHeight="1" x14ac:dyDescent="0.3">
      <c r="A1173" s="1" t="s">
        <v>289</v>
      </c>
      <c r="B1173" s="1" t="str">
        <f>TEXT(Table1[[#This Row],[Date]], "YYYY-mm")</f>
        <v>2024-06</v>
      </c>
      <c r="C1173" s="2" t="s">
        <v>25</v>
      </c>
      <c r="D1173" s="2" t="s">
        <v>19</v>
      </c>
      <c r="E1173" s="2">
        <v>5</v>
      </c>
      <c r="F1173" s="2">
        <v>1035.49</v>
      </c>
      <c r="G1173" s="8">
        <f>Table1[[#This Row],[Quantity]]*Table1[[#This Row],[Price]]</f>
        <v>5177.45</v>
      </c>
    </row>
    <row r="1174" spans="1:7" ht="21" customHeight="1" x14ac:dyDescent="0.3">
      <c r="A1174" s="3" t="s">
        <v>368</v>
      </c>
      <c r="B1174" s="3" t="str">
        <f>TEXT(Table1[[#This Row],[Date]], "YYYY-mm")</f>
        <v>2024-01</v>
      </c>
      <c r="C1174" s="4" t="s">
        <v>25</v>
      </c>
      <c r="D1174" s="4" t="s">
        <v>19</v>
      </c>
      <c r="E1174" s="4">
        <v>15</v>
      </c>
      <c r="F1174" s="4">
        <v>535.38</v>
      </c>
      <c r="G1174" s="9">
        <f>Table1[[#This Row],[Quantity]]*Table1[[#This Row],[Price]]</f>
        <v>8030.7</v>
      </c>
    </row>
    <row r="1175" spans="1:7" ht="21" customHeight="1" x14ac:dyDescent="0.3">
      <c r="A1175" s="1" t="s">
        <v>159</v>
      </c>
      <c r="B1175" s="1" t="str">
        <f>TEXT(Table1[[#This Row],[Date]], "YYYY-mm")</f>
        <v>2024-10</v>
      </c>
      <c r="C1175" s="2" t="s">
        <v>10</v>
      </c>
      <c r="D1175" s="2" t="s">
        <v>8</v>
      </c>
      <c r="E1175" s="2">
        <v>4</v>
      </c>
      <c r="F1175" s="2">
        <v>101.06</v>
      </c>
      <c r="G1175" s="8">
        <f>Table1[[#This Row],[Quantity]]*Table1[[#This Row],[Price]]</f>
        <v>404.24</v>
      </c>
    </row>
    <row r="1176" spans="1:7" ht="21" customHeight="1" x14ac:dyDescent="0.3">
      <c r="A1176" s="3" t="s">
        <v>345</v>
      </c>
      <c r="B1176" s="3" t="str">
        <f>TEXT(Table1[[#This Row],[Date]], "YYYY-mm")</f>
        <v>2024-11</v>
      </c>
      <c r="C1176" s="4" t="s">
        <v>18</v>
      </c>
      <c r="D1176" s="4" t="s">
        <v>19</v>
      </c>
      <c r="E1176" s="4">
        <v>4</v>
      </c>
      <c r="F1176" s="4">
        <v>343.38</v>
      </c>
      <c r="G1176" s="9">
        <f>Table1[[#This Row],[Quantity]]*Table1[[#This Row],[Price]]</f>
        <v>1373.52</v>
      </c>
    </row>
    <row r="1177" spans="1:7" ht="21" customHeight="1" x14ac:dyDescent="0.3">
      <c r="A1177" s="1" t="s">
        <v>168</v>
      </c>
      <c r="B1177" s="1" t="str">
        <f>TEXT(Table1[[#This Row],[Date]], "YYYY-mm")</f>
        <v>2024-03</v>
      </c>
      <c r="C1177" s="2" t="s">
        <v>29</v>
      </c>
      <c r="D1177" s="2" t="s">
        <v>19</v>
      </c>
      <c r="E1177" s="2">
        <v>9</v>
      </c>
      <c r="F1177" s="2">
        <v>1004.63</v>
      </c>
      <c r="G1177" s="8">
        <f>Table1[[#This Row],[Quantity]]*Table1[[#This Row],[Price]]</f>
        <v>9041.67</v>
      </c>
    </row>
    <row r="1178" spans="1:7" ht="21" customHeight="1" x14ac:dyDescent="0.3">
      <c r="A1178" s="3" t="s">
        <v>206</v>
      </c>
      <c r="B1178" s="3" t="str">
        <f>TEXT(Table1[[#This Row],[Date]], "YYYY-mm")</f>
        <v>2024-06</v>
      </c>
      <c r="C1178" s="4" t="s">
        <v>7</v>
      </c>
      <c r="D1178" s="4" t="s">
        <v>8</v>
      </c>
      <c r="E1178" s="4">
        <v>14</v>
      </c>
      <c r="F1178" s="4">
        <v>54.17</v>
      </c>
      <c r="G1178" s="9">
        <f>Table1[[#This Row],[Quantity]]*Table1[[#This Row],[Price]]</f>
        <v>758.38</v>
      </c>
    </row>
    <row r="1179" spans="1:7" ht="21" customHeight="1" x14ac:dyDescent="0.3">
      <c r="A1179" s="1" t="s">
        <v>289</v>
      </c>
      <c r="B1179" s="1" t="str">
        <f>TEXT(Table1[[#This Row],[Date]], "YYYY-mm")</f>
        <v>2024-06</v>
      </c>
      <c r="C1179" s="2" t="s">
        <v>15</v>
      </c>
      <c r="D1179" s="2" t="s">
        <v>8</v>
      </c>
      <c r="E1179" s="2">
        <v>10</v>
      </c>
      <c r="F1179" s="2">
        <v>3.87</v>
      </c>
      <c r="G1179" s="8">
        <f>Table1[[#This Row],[Quantity]]*Table1[[#This Row],[Price]]</f>
        <v>38.700000000000003</v>
      </c>
    </row>
    <row r="1180" spans="1:7" ht="21" customHeight="1" x14ac:dyDescent="0.3">
      <c r="A1180" s="3" t="s">
        <v>165</v>
      </c>
      <c r="B1180" s="3" t="str">
        <f>TEXT(Table1[[#This Row],[Date]], "YYYY-mm")</f>
        <v>2024-12</v>
      </c>
      <c r="C1180" s="4" t="s">
        <v>25</v>
      </c>
      <c r="D1180" s="4" t="s">
        <v>19</v>
      </c>
      <c r="E1180" s="4">
        <v>11</v>
      </c>
      <c r="F1180" s="4">
        <v>615.54999999999995</v>
      </c>
      <c r="G1180" s="9">
        <f>Table1[[#This Row],[Quantity]]*Table1[[#This Row],[Price]]</f>
        <v>6771.0499999999993</v>
      </c>
    </row>
    <row r="1181" spans="1:7" ht="21" customHeight="1" x14ac:dyDescent="0.3">
      <c r="A1181" s="1" t="s">
        <v>24</v>
      </c>
      <c r="B1181" s="1" t="str">
        <f>TEXT(Table1[[#This Row],[Date]], "YYYY-mm")</f>
        <v>2024-06</v>
      </c>
      <c r="C1181" s="2" t="s">
        <v>29</v>
      </c>
      <c r="D1181" s="2" t="s">
        <v>19</v>
      </c>
      <c r="E1181" s="2">
        <v>10</v>
      </c>
      <c r="F1181" s="2">
        <v>2438.7399999999998</v>
      </c>
      <c r="G1181" s="8">
        <f>Table1[[#This Row],[Quantity]]*Table1[[#This Row],[Price]]</f>
        <v>24387.399999999998</v>
      </c>
    </row>
    <row r="1182" spans="1:7" ht="21" customHeight="1" x14ac:dyDescent="0.3">
      <c r="A1182" s="3" t="s">
        <v>102</v>
      </c>
      <c r="B1182" s="3" t="str">
        <f>TEXT(Table1[[#This Row],[Date]], "YYYY-mm")</f>
        <v>2024-04</v>
      </c>
      <c r="C1182" s="4" t="s">
        <v>27</v>
      </c>
      <c r="D1182" s="4" t="s">
        <v>8</v>
      </c>
      <c r="E1182" s="4">
        <v>10</v>
      </c>
      <c r="F1182" s="4">
        <v>243.78</v>
      </c>
      <c r="G1182" s="9">
        <f>Table1[[#This Row],[Quantity]]*Table1[[#This Row],[Price]]</f>
        <v>2437.8000000000002</v>
      </c>
    </row>
    <row r="1183" spans="1:7" ht="21" customHeight="1" x14ac:dyDescent="0.3">
      <c r="A1183" s="1" t="s">
        <v>229</v>
      </c>
      <c r="B1183" s="1" t="str">
        <f>TEXT(Table1[[#This Row],[Date]], "YYYY-mm")</f>
        <v>2024-05</v>
      </c>
      <c r="C1183" s="2" t="s">
        <v>10</v>
      </c>
      <c r="D1183" s="2" t="s">
        <v>8</v>
      </c>
      <c r="E1183" s="2">
        <v>5</v>
      </c>
      <c r="F1183" s="2">
        <v>50.66</v>
      </c>
      <c r="G1183" s="8">
        <f>Table1[[#This Row],[Quantity]]*Table1[[#This Row],[Price]]</f>
        <v>253.29999999999998</v>
      </c>
    </row>
    <row r="1184" spans="1:7" ht="21" customHeight="1" x14ac:dyDescent="0.3">
      <c r="A1184" s="3" t="s">
        <v>369</v>
      </c>
      <c r="B1184" s="3" t="str">
        <f>TEXT(Table1[[#This Row],[Date]], "YYYY-mm")</f>
        <v>2024-12</v>
      </c>
      <c r="C1184" s="4" t="s">
        <v>39</v>
      </c>
      <c r="D1184" s="4" t="s">
        <v>8</v>
      </c>
      <c r="E1184" s="4">
        <v>7</v>
      </c>
      <c r="F1184" s="4">
        <v>4.1100000000000003</v>
      </c>
      <c r="G1184" s="9">
        <f>Table1[[#This Row],[Quantity]]*Table1[[#This Row],[Price]]</f>
        <v>28.770000000000003</v>
      </c>
    </row>
    <row r="1185" spans="1:7" ht="21" customHeight="1" x14ac:dyDescent="0.3">
      <c r="A1185" s="1" t="s">
        <v>190</v>
      </c>
      <c r="B1185" s="1" t="str">
        <f>TEXT(Table1[[#This Row],[Date]], "YYYY-mm")</f>
        <v>2024-01</v>
      </c>
      <c r="C1185" s="2" t="s">
        <v>27</v>
      </c>
      <c r="D1185" s="2" t="s">
        <v>8</v>
      </c>
      <c r="E1185" s="2">
        <v>15</v>
      </c>
      <c r="F1185" s="2">
        <v>219.87</v>
      </c>
      <c r="G1185" s="8">
        <f>Table1[[#This Row],[Quantity]]*Table1[[#This Row],[Price]]</f>
        <v>3298.05</v>
      </c>
    </row>
    <row r="1186" spans="1:7" ht="21" customHeight="1" x14ac:dyDescent="0.3">
      <c r="A1186" s="3" t="s">
        <v>170</v>
      </c>
      <c r="B1186" s="3" t="str">
        <f>TEXT(Table1[[#This Row],[Date]], "YYYY-mm")</f>
        <v>2024-04</v>
      </c>
      <c r="C1186" s="4" t="s">
        <v>15</v>
      </c>
      <c r="D1186" s="4" t="s">
        <v>8</v>
      </c>
      <c r="E1186" s="4">
        <v>7</v>
      </c>
      <c r="F1186" s="4">
        <v>8.3800000000000008</v>
      </c>
      <c r="G1186" s="9">
        <f>Table1[[#This Row],[Quantity]]*Table1[[#This Row],[Price]]</f>
        <v>58.660000000000004</v>
      </c>
    </row>
    <row r="1187" spans="1:7" ht="21" customHeight="1" x14ac:dyDescent="0.3">
      <c r="A1187" s="1" t="s">
        <v>196</v>
      </c>
      <c r="B1187" s="1" t="str">
        <f>TEXT(Table1[[#This Row],[Date]], "YYYY-mm")</f>
        <v>2024-10</v>
      </c>
      <c r="C1187" s="2" t="s">
        <v>44</v>
      </c>
      <c r="D1187" s="2" t="s">
        <v>8</v>
      </c>
      <c r="E1187" s="2">
        <v>6</v>
      </c>
      <c r="F1187" s="2">
        <v>15.32</v>
      </c>
      <c r="G1187" s="8">
        <f>Table1[[#This Row],[Quantity]]*Table1[[#This Row],[Price]]</f>
        <v>91.92</v>
      </c>
    </row>
    <row r="1188" spans="1:7" ht="21" customHeight="1" x14ac:dyDescent="0.3">
      <c r="A1188" s="3" t="s">
        <v>317</v>
      </c>
      <c r="B1188" s="3" t="str">
        <f>TEXT(Table1[[#This Row],[Date]], "YYYY-mm")</f>
        <v>2024-04</v>
      </c>
      <c r="C1188" s="4" t="s">
        <v>25</v>
      </c>
      <c r="D1188" s="4" t="s">
        <v>19</v>
      </c>
      <c r="E1188" s="4">
        <v>13</v>
      </c>
      <c r="F1188" s="4">
        <v>633.54999999999995</v>
      </c>
      <c r="G1188" s="9">
        <f>Table1[[#This Row],[Quantity]]*Table1[[#This Row],[Price]]</f>
        <v>8236.15</v>
      </c>
    </row>
    <row r="1189" spans="1:7" ht="21" customHeight="1" x14ac:dyDescent="0.3">
      <c r="A1189" s="1" t="s">
        <v>152</v>
      </c>
      <c r="B1189" s="1" t="str">
        <f>TEXT(Table1[[#This Row],[Date]], "YYYY-mm")</f>
        <v>2024-05</v>
      </c>
      <c r="C1189" s="2" t="s">
        <v>15</v>
      </c>
      <c r="D1189" s="2" t="s">
        <v>8</v>
      </c>
      <c r="E1189" s="2">
        <v>15</v>
      </c>
      <c r="F1189" s="2">
        <v>3.77</v>
      </c>
      <c r="G1189" s="8">
        <f>Table1[[#This Row],[Quantity]]*Table1[[#This Row],[Price]]</f>
        <v>56.55</v>
      </c>
    </row>
    <row r="1190" spans="1:7" ht="21" customHeight="1" x14ac:dyDescent="0.3">
      <c r="A1190" s="3" t="s">
        <v>139</v>
      </c>
      <c r="B1190" s="3" t="str">
        <f>TEXT(Table1[[#This Row],[Date]], "YYYY-mm")</f>
        <v>2024-01</v>
      </c>
      <c r="C1190" s="4" t="s">
        <v>27</v>
      </c>
      <c r="D1190" s="4" t="s">
        <v>8</v>
      </c>
      <c r="E1190" s="4">
        <v>1</v>
      </c>
      <c r="F1190" s="4">
        <v>170.9</v>
      </c>
      <c r="G1190" s="9">
        <f>Table1[[#This Row],[Quantity]]*Table1[[#This Row],[Price]]</f>
        <v>170.9</v>
      </c>
    </row>
    <row r="1191" spans="1:7" ht="21" customHeight="1" x14ac:dyDescent="0.3">
      <c r="A1191" s="1" t="s">
        <v>255</v>
      </c>
      <c r="B1191" s="1" t="str">
        <f>TEXT(Table1[[#This Row],[Date]], "YYYY-mm")</f>
        <v>2024-09</v>
      </c>
      <c r="C1191" s="2" t="s">
        <v>39</v>
      </c>
      <c r="D1191" s="2" t="s">
        <v>8</v>
      </c>
      <c r="E1191" s="2">
        <v>15</v>
      </c>
      <c r="F1191" s="2">
        <v>5.72</v>
      </c>
      <c r="G1191" s="8">
        <f>Table1[[#This Row],[Quantity]]*Table1[[#This Row],[Price]]</f>
        <v>85.8</v>
      </c>
    </row>
    <row r="1192" spans="1:7" ht="21" customHeight="1" x14ac:dyDescent="0.3">
      <c r="A1192" s="3" t="s">
        <v>307</v>
      </c>
      <c r="B1192" s="3" t="str">
        <f>TEXT(Table1[[#This Row],[Date]], "YYYY-mm")</f>
        <v>2024-09</v>
      </c>
      <c r="C1192" s="4" t="s">
        <v>18</v>
      </c>
      <c r="D1192" s="4" t="s">
        <v>19</v>
      </c>
      <c r="E1192" s="4">
        <v>1</v>
      </c>
      <c r="F1192" s="4">
        <v>1469.54</v>
      </c>
      <c r="G1192" s="9">
        <f>Table1[[#This Row],[Quantity]]*Table1[[#This Row],[Price]]</f>
        <v>1469.54</v>
      </c>
    </row>
    <row r="1193" spans="1:7" ht="21" customHeight="1" x14ac:dyDescent="0.3">
      <c r="A1193" s="1" t="s">
        <v>196</v>
      </c>
      <c r="B1193" s="1" t="str">
        <f>TEXT(Table1[[#This Row],[Date]], "YYYY-mm")</f>
        <v>2024-10</v>
      </c>
      <c r="C1193" s="2" t="s">
        <v>44</v>
      </c>
      <c r="D1193" s="2" t="s">
        <v>8</v>
      </c>
      <c r="E1193" s="2">
        <v>11</v>
      </c>
      <c r="F1193" s="2">
        <v>7.96</v>
      </c>
      <c r="G1193" s="8">
        <f>Table1[[#This Row],[Quantity]]*Table1[[#This Row],[Price]]</f>
        <v>87.56</v>
      </c>
    </row>
    <row r="1194" spans="1:7" ht="21" customHeight="1" x14ac:dyDescent="0.3">
      <c r="A1194" s="3" t="s">
        <v>246</v>
      </c>
      <c r="B1194" s="3" t="str">
        <f>TEXT(Table1[[#This Row],[Date]], "YYYY-mm")</f>
        <v>2024-10</v>
      </c>
      <c r="C1194" s="4" t="s">
        <v>15</v>
      </c>
      <c r="D1194" s="4" t="s">
        <v>8</v>
      </c>
      <c r="E1194" s="4">
        <v>3</v>
      </c>
      <c r="F1194" s="4">
        <v>4.79</v>
      </c>
      <c r="G1194" s="9">
        <f>Table1[[#This Row],[Quantity]]*Table1[[#This Row],[Price]]</f>
        <v>14.370000000000001</v>
      </c>
    </row>
    <row r="1195" spans="1:7" ht="21" customHeight="1" x14ac:dyDescent="0.3">
      <c r="A1195" s="1" t="s">
        <v>33</v>
      </c>
      <c r="B1195" s="1" t="str">
        <f>TEXT(Table1[[#This Row],[Date]], "YYYY-mm")</f>
        <v>2024-03</v>
      </c>
      <c r="C1195" s="2" t="s">
        <v>29</v>
      </c>
      <c r="D1195" s="2" t="s">
        <v>19</v>
      </c>
      <c r="E1195" s="2">
        <v>7</v>
      </c>
      <c r="F1195" s="2">
        <v>2070.48</v>
      </c>
      <c r="G1195" s="8">
        <f>Table1[[#This Row],[Quantity]]*Table1[[#This Row],[Price]]</f>
        <v>14493.36</v>
      </c>
    </row>
    <row r="1196" spans="1:7" ht="21" customHeight="1" x14ac:dyDescent="0.3">
      <c r="A1196" s="3" t="s">
        <v>77</v>
      </c>
      <c r="B1196" s="3" t="str">
        <f>TEXT(Table1[[#This Row],[Date]], "YYYY-mm")</f>
        <v>2024-09</v>
      </c>
      <c r="C1196" s="4" t="s">
        <v>18</v>
      </c>
      <c r="D1196" s="4" t="s">
        <v>19</v>
      </c>
      <c r="E1196" s="4">
        <v>5</v>
      </c>
      <c r="F1196" s="4">
        <v>930.59</v>
      </c>
      <c r="G1196" s="9">
        <f>Table1[[#This Row],[Quantity]]*Table1[[#This Row],[Price]]</f>
        <v>4652.95</v>
      </c>
    </row>
    <row r="1197" spans="1:7" ht="21" customHeight="1" x14ac:dyDescent="0.3">
      <c r="A1197" s="1" t="s">
        <v>123</v>
      </c>
      <c r="B1197" s="1" t="str">
        <f>TEXT(Table1[[#This Row],[Date]], "YYYY-mm")</f>
        <v>2024-03</v>
      </c>
      <c r="C1197" s="2" t="s">
        <v>10</v>
      </c>
      <c r="D1197" s="2" t="s">
        <v>8</v>
      </c>
      <c r="E1197" s="2">
        <v>12</v>
      </c>
      <c r="F1197" s="2">
        <v>55.99</v>
      </c>
      <c r="G1197" s="8">
        <f>Table1[[#This Row],[Quantity]]*Table1[[#This Row],[Price]]</f>
        <v>671.88</v>
      </c>
    </row>
    <row r="1198" spans="1:7" ht="21" customHeight="1" x14ac:dyDescent="0.3">
      <c r="A1198" s="3" t="s">
        <v>314</v>
      </c>
      <c r="B1198" s="3" t="str">
        <f>TEXT(Table1[[#This Row],[Date]], "YYYY-mm")</f>
        <v>2024-08</v>
      </c>
      <c r="C1198" s="4" t="s">
        <v>15</v>
      </c>
      <c r="D1198" s="4" t="s">
        <v>8</v>
      </c>
      <c r="E1198" s="4">
        <v>7</v>
      </c>
      <c r="F1198" s="4">
        <v>7.04</v>
      </c>
      <c r="G1198" s="9">
        <f>Table1[[#This Row],[Quantity]]*Table1[[#This Row],[Price]]</f>
        <v>49.28</v>
      </c>
    </row>
    <row r="1199" spans="1:7" ht="21" customHeight="1" x14ac:dyDescent="0.3">
      <c r="A1199" s="1" t="s">
        <v>269</v>
      </c>
      <c r="B1199" s="1" t="str">
        <f>TEXT(Table1[[#This Row],[Date]], "YYYY-mm")</f>
        <v>2024-06</v>
      </c>
      <c r="C1199" s="2" t="s">
        <v>18</v>
      </c>
      <c r="D1199" s="2" t="s">
        <v>19</v>
      </c>
      <c r="E1199" s="2">
        <v>15</v>
      </c>
      <c r="F1199" s="2">
        <v>715.38</v>
      </c>
      <c r="G1199" s="8">
        <f>Table1[[#This Row],[Quantity]]*Table1[[#This Row],[Price]]</f>
        <v>10730.7</v>
      </c>
    </row>
    <row r="1200" spans="1:7" ht="21" customHeight="1" x14ac:dyDescent="0.3">
      <c r="A1200" s="3" t="s">
        <v>152</v>
      </c>
      <c r="B1200" s="3" t="str">
        <f>TEXT(Table1[[#This Row],[Date]], "YYYY-mm")</f>
        <v>2024-05</v>
      </c>
      <c r="C1200" s="4" t="s">
        <v>12</v>
      </c>
      <c r="D1200" s="4" t="s">
        <v>13</v>
      </c>
      <c r="E1200" s="4">
        <v>2</v>
      </c>
      <c r="F1200" s="4">
        <v>475.85</v>
      </c>
      <c r="G1200" s="9">
        <f>Table1[[#This Row],[Quantity]]*Table1[[#This Row],[Price]]</f>
        <v>951.7</v>
      </c>
    </row>
    <row r="1201" spans="1:7" ht="21" customHeight="1" x14ac:dyDescent="0.3">
      <c r="A1201" s="1" t="s">
        <v>319</v>
      </c>
      <c r="B1201" s="1" t="str">
        <f>TEXT(Table1[[#This Row],[Date]], "YYYY-mm")</f>
        <v>2024-05</v>
      </c>
      <c r="C1201" s="2" t="s">
        <v>39</v>
      </c>
      <c r="D1201" s="2" t="s">
        <v>8</v>
      </c>
      <c r="E1201" s="2">
        <v>5</v>
      </c>
      <c r="F1201" s="2">
        <v>7.52</v>
      </c>
      <c r="G1201" s="8">
        <f>Table1[[#This Row],[Quantity]]*Table1[[#This Row],[Price]]</f>
        <v>37.599999999999994</v>
      </c>
    </row>
    <row r="1202" spans="1:7" ht="21" customHeight="1" x14ac:dyDescent="0.3">
      <c r="A1202" s="3" t="s">
        <v>250</v>
      </c>
      <c r="B1202" s="3" t="str">
        <f>TEXT(Table1[[#This Row],[Date]], "YYYY-mm")</f>
        <v>2024-10</v>
      </c>
      <c r="C1202" s="4" t="s">
        <v>27</v>
      </c>
      <c r="D1202" s="4" t="s">
        <v>8</v>
      </c>
      <c r="E1202" s="4">
        <v>13</v>
      </c>
      <c r="F1202" s="4">
        <v>98.58</v>
      </c>
      <c r="G1202" s="9">
        <f>Table1[[#This Row],[Quantity]]*Table1[[#This Row],[Price]]</f>
        <v>1281.54</v>
      </c>
    </row>
    <row r="1203" spans="1:7" ht="21" customHeight="1" x14ac:dyDescent="0.3">
      <c r="A1203" s="1" t="s">
        <v>51</v>
      </c>
      <c r="B1203" s="1" t="str">
        <f>TEXT(Table1[[#This Row],[Date]], "YYYY-mm")</f>
        <v>2024-12</v>
      </c>
      <c r="C1203" s="2" t="s">
        <v>34</v>
      </c>
      <c r="D1203" s="2" t="s">
        <v>19</v>
      </c>
      <c r="E1203" s="2">
        <v>3</v>
      </c>
      <c r="F1203" s="2">
        <v>1538.7</v>
      </c>
      <c r="G1203" s="8">
        <f>Table1[[#This Row],[Quantity]]*Table1[[#This Row],[Price]]</f>
        <v>4616.1000000000004</v>
      </c>
    </row>
    <row r="1204" spans="1:7" ht="21" customHeight="1" x14ac:dyDescent="0.3">
      <c r="A1204" s="3" t="s">
        <v>323</v>
      </c>
      <c r="B1204" s="3" t="str">
        <f>TEXT(Table1[[#This Row],[Date]], "YYYY-mm")</f>
        <v>2024-10</v>
      </c>
      <c r="C1204" s="4" t="s">
        <v>22</v>
      </c>
      <c r="D1204" s="4" t="s">
        <v>13</v>
      </c>
      <c r="E1204" s="4">
        <v>9</v>
      </c>
      <c r="F1204" s="4">
        <v>1555.57</v>
      </c>
      <c r="G1204" s="9">
        <f>Table1[[#This Row],[Quantity]]*Table1[[#This Row],[Price]]</f>
        <v>14000.13</v>
      </c>
    </row>
    <row r="1205" spans="1:7" ht="21" customHeight="1" x14ac:dyDescent="0.3">
      <c r="A1205" s="1" t="s">
        <v>41</v>
      </c>
      <c r="B1205" s="1" t="str">
        <f>TEXT(Table1[[#This Row],[Date]], "YYYY-mm")</f>
        <v>2024-02</v>
      </c>
      <c r="C1205" s="2" t="s">
        <v>10</v>
      </c>
      <c r="D1205" s="2" t="s">
        <v>8</v>
      </c>
      <c r="E1205" s="2">
        <v>3</v>
      </c>
      <c r="F1205" s="2">
        <v>96.95</v>
      </c>
      <c r="G1205" s="8">
        <f>Table1[[#This Row],[Quantity]]*Table1[[#This Row],[Price]]</f>
        <v>290.85000000000002</v>
      </c>
    </row>
    <row r="1206" spans="1:7" ht="21" customHeight="1" x14ac:dyDescent="0.3">
      <c r="A1206" s="3" t="s">
        <v>263</v>
      </c>
      <c r="B1206" s="3" t="str">
        <f>TEXT(Table1[[#This Row],[Date]], "YYYY-mm")</f>
        <v>2024-10</v>
      </c>
      <c r="C1206" s="4" t="s">
        <v>39</v>
      </c>
      <c r="D1206" s="4" t="s">
        <v>8</v>
      </c>
      <c r="E1206" s="4">
        <v>13</v>
      </c>
      <c r="F1206" s="4">
        <v>5.44</v>
      </c>
      <c r="G1206" s="9">
        <f>Table1[[#This Row],[Quantity]]*Table1[[#This Row],[Price]]</f>
        <v>70.72</v>
      </c>
    </row>
    <row r="1207" spans="1:7" ht="21" customHeight="1" x14ac:dyDescent="0.3">
      <c r="A1207" s="1" t="s">
        <v>349</v>
      </c>
      <c r="B1207" s="1" t="str">
        <f>TEXT(Table1[[#This Row],[Date]], "YYYY-mm")</f>
        <v>2024-01</v>
      </c>
      <c r="C1207" s="2" t="s">
        <v>25</v>
      </c>
      <c r="D1207" s="2" t="s">
        <v>19</v>
      </c>
      <c r="E1207" s="2">
        <v>10</v>
      </c>
      <c r="F1207" s="2">
        <v>722</v>
      </c>
      <c r="G1207" s="8">
        <f>Table1[[#This Row],[Quantity]]*Table1[[#This Row],[Price]]</f>
        <v>7220</v>
      </c>
    </row>
    <row r="1208" spans="1:7" ht="21" customHeight="1" x14ac:dyDescent="0.3">
      <c r="A1208" s="3" t="s">
        <v>58</v>
      </c>
      <c r="B1208" s="3" t="str">
        <f>TEXT(Table1[[#This Row],[Date]], "YYYY-mm")</f>
        <v>2024-01</v>
      </c>
      <c r="C1208" s="4" t="s">
        <v>12</v>
      </c>
      <c r="D1208" s="4" t="s">
        <v>13</v>
      </c>
      <c r="E1208" s="4">
        <v>12</v>
      </c>
      <c r="F1208" s="4">
        <v>220.37</v>
      </c>
      <c r="G1208" s="9">
        <f>Table1[[#This Row],[Quantity]]*Table1[[#This Row],[Price]]</f>
        <v>2644.44</v>
      </c>
    </row>
    <row r="1209" spans="1:7" ht="21" customHeight="1" x14ac:dyDescent="0.3">
      <c r="A1209" s="1" t="s">
        <v>243</v>
      </c>
      <c r="B1209" s="1" t="str">
        <f>TEXT(Table1[[#This Row],[Date]], "YYYY-mm")</f>
        <v>2024-03</v>
      </c>
      <c r="C1209" s="2" t="s">
        <v>12</v>
      </c>
      <c r="D1209" s="2" t="s">
        <v>13</v>
      </c>
      <c r="E1209" s="2">
        <v>12</v>
      </c>
      <c r="F1209" s="2">
        <v>306.04000000000002</v>
      </c>
      <c r="G1209" s="8">
        <f>Table1[[#This Row],[Quantity]]*Table1[[#This Row],[Price]]</f>
        <v>3672.4800000000005</v>
      </c>
    </row>
    <row r="1210" spans="1:7" ht="21" customHeight="1" x14ac:dyDescent="0.3">
      <c r="A1210" s="3" t="s">
        <v>223</v>
      </c>
      <c r="B1210" s="3" t="str">
        <f>TEXT(Table1[[#This Row],[Date]], "YYYY-mm")</f>
        <v>2024-07</v>
      </c>
      <c r="C1210" s="4" t="s">
        <v>22</v>
      </c>
      <c r="D1210" s="4" t="s">
        <v>13</v>
      </c>
      <c r="E1210" s="4">
        <v>2</v>
      </c>
      <c r="F1210" s="4">
        <v>1991.65</v>
      </c>
      <c r="G1210" s="9">
        <f>Table1[[#This Row],[Quantity]]*Table1[[#This Row],[Price]]</f>
        <v>3983.3</v>
      </c>
    </row>
    <row r="1211" spans="1:7" ht="21" customHeight="1" x14ac:dyDescent="0.3">
      <c r="A1211" s="1" t="s">
        <v>191</v>
      </c>
      <c r="B1211" s="1" t="str">
        <f>TEXT(Table1[[#This Row],[Date]], "YYYY-mm")</f>
        <v>2024-07</v>
      </c>
      <c r="C1211" s="2" t="s">
        <v>39</v>
      </c>
      <c r="D1211" s="2" t="s">
        <v>8</v>
      </c>
      <c r="E1211" s="2">
        <v>11</v>
      </c>
      <c r="F1211" s="2">
        <v>2.16</v>
      </c>
      <c r="G1211" s="8">
        <f>Table1[[#This Row],[Quantity]]*Table1[[#This Row],[Price]]</f>
        <v>23.76</v>
      </c>
    </row>
    <row r="1212" spans="1:7" ht="21" customHeight="1" x14ac:dyDescent="0.3">
      <c r="A1212" s="3" t="s">
        <v>323</v>
      </c>
      <c r="B1212" s="3" t="str">
        <f>TEXT(Table1[[#This Row],[Date]], "YYYY-mm")</f>
        <v>2024-10</v>
      </c>
      <c r="C1212" s="4" t="s">
        <v>10</v>
      </c>
      <c r="D1212" s="4" t="s">
        <v>8</v>
      </c>
      <c r="E1212" s="4">
        <v>7</v>
      </c>
      <c r="F1212" s="4">
        <v>104.26</v>
      </c>
      <c r="G1212" s="9">
        <f>Table1[[#This Row],[Quantity]]*Table1[[#This Row],[Price]]</f>
        <v>729.82</v>
      </c>
    </row>
    <row r="1213" spans="1:7" ht="21" customHeight="1" x14ac:dyDescent="0.3">
      <c r="A1213" s="1" t="s">
        <v>103</v>
      </c>
      <c r="B1213" s="1" t="str">
        <f>TEXT(Table1[[#This Row],[Date]], "YYYY-mm")</f>
        <v>2024-07</v>
      </c>
      <c r="C1213" s="2" t="s">
        <v>25</v>
      </c>
      <c r="D1213" s="2" t="s">
        <v>19</v>
      </c>
      <c r="E1213" s="2">
        <v>10</v>
      </c>
      <c r="F1213" s="2">
        <v>1091.1400000000001</v>
      </c>
      <c r="G1213" s="8">
        <f>Table1[[#This Row],[Quantity]]*Table1[[#This Row],[Price]]</f>
        <v>10911.400000000001</v>
      </c>
    </row>
    <row r="1214" spans="1:7" ht="21" customHeight="1" x14ac:dyDescent="0.3">
      <c r="A1214" s="3" t="s">
        <v>47</v>
      </c>
      <c r="B1214" s="3" t="str">
        <f>TEXT(Table1[[#This Row],[Date]], "YYYY-mm")</f>
        <v>2024-09</v>
      </c>
      <c r="C1214" s="4" t="s">
        <v>29</v>
      </c>
      <c r="D1214" s="4" t="s">
        <v>19</v>
      </c>
      <c r="E1214" s="4">
        <v>6</v>
      </c>
      <c r="F1214" s="4">
        <v>1528.34</v>
      </c>
      <c r="G1214" s="9">
        <f>Table1[[#This Row],[Quantity]]*Table1[[#This Row],[Price]]</f>
        <v>9170.0399999999991</v>
      </c>
    </row>
    <row r="1215" spans="1:7" ht="21" customHeight="1" x14ac:dyDescent="0.3">
      <c r="A1215" s="1" t="s">
        <v>370</v>
      </c>
      <c r="B1215" s="1" t="str">
        <f>TEXT(Table1[[#This Row],[Date]], "YYYY-mm")</f>
        <v>2024-09</v>
      </c>
      <c r="C1215" s="2" t="s">
        <v>12</v>
      </c>
      <c r="D1215" s="2" t="s">
        <v>13</v>
      </c>
      <c r="E1215" s="2">
        <v>5</v>
      </c>
      <c r="F1215" s="2">
        <v>252.09</v>
      </c>
      <c r="G1215" s="8">
        <f>Table1[[#This Row],[Quantity]]*Table1[[#This Row],[Price]]</f>
        <v>1260.45</v>
      </c>
    </row>
    <row r="1216" spans="1:7" ht="21" customHeight="1" x14ac:dyDescent="0.3">
      <c r="A1216" s="3" t="s">
        <v>183</v>
      </c>
      <c r="B1216" s="3" t="str">
        <f>TEXT(Table1[[#This Row],[Date]], "YYYY-mm")</f>
        <v>2024-07</v>
      </c>
      <c r="C1216" s="4" t="s">
        <v>15</v>
      </c>
      <c r="D1216" s="4" t="s">
        <v>8</v>
      </c>
      <c r="E1216" s="4">
        <v>8</v>
      </c>
      <c r="F1216" s="4">
        <v>5.73</v>
      </c>
      <c r="G1216" s="9">
        <f>Table1[[#This Row],[Quantity]]*Table1[[#This Row],[Price]]</f>
        <v>45.84</v>
      </c>
    </row>
    <row r="1217" spans="1:7" ht="21" customHeight="1" x14ac:dyDescent="0.3">
      <c r="A1217" s="1" t="s">
        <v>188</v>
      </c>
      <c r="B1217" s="1" t="str">
        <f>TEXT(Table1[[#This Row],[Date]], "YYYY-mm")</f>
        <v>2024-09</v>
      </c>
      <c r="C1217" s="2" t="s">
        <v>39</v>
      </c>
      <c r="D1217" s="2" t="s">
        <v>8</v>
      </c>
      <c r="E1217" s="2">
        <v>14</v>
      </c>
      <c r="F1217" s="2">
        <v>4.17</v>
      </c>
      <c r="G1217" s="8">
        <f>Table1[[#This Row],[Quantity]]*Table1[[#This Row],[Price]]</f>
        <v>58.379999999999995</v>
      </c>
    </row>
    <row r="1218" spans="1:7" ht="21" customHeight="1" x14ac:dyDescent="0.3">
      <c r="A1218" s="3" t="s">
        <v>338</v>
      </c>
      <c r="B1218" s="3" t="str">
        <f>TEXT(Table1[[#This Row],[Date]], "YYYY-mm")</f>
        <v>2024-03</v>
      </c>
      <c r="C1218" s="4" t="s">
        <v>10</v>
      </c>
      <c r="D1218" s="4" t="s">
        <v>8</v>
      </c>
      <c r="E1218" s="4">
        <v>9</v>
      </c>
      <c r="F1218" s="4">
        <v>84.69</v>
      </c>
      <c r="G1218" s="9">
        <f>Table1[[#This Row],[Quantity]]*Table1[[#This Row],[Price]]</f>
        <v>762.21</v>
      </c>
    </row>
    <row r="1219" spans="1:7" ht="21" customHeight="1" x14ac:dyDescent="0.3">
      <c r="A1219" s="1" t="s">
        <v>371</v>
      </c>
      <c r="B1219" s="1" t="str">
        <f>TEXT(Table1[[#This Row],[Date]], "YYYY-mm")</f>
        <v>2024-08</v>
      </c>
      <c r="C1219" s="2" t="s">
        <v>10</v>
      </c>
      <c r="D1219" s="2" t="s">
        <v>8</v>
      </c>
      <c r="E1219" s="2">
        <v>15</v>
      </c>
      <c r="F1219" s="2">
        <v>70.930000000000007</v>
      </c>
      <c r="G1219" s="8">
        <f>Table1[[#This Row],[Quantity]]*Table1[[#This Row],[Price]]</f>
        <v>1063.95</v>
      </c>
    </row>
    <row r="1220" spans="1:7" ht="21" customHeight="1" x14ac:dyDescent="0.3">
      <c r="A1220" s="3" t="s">
        <v>223</v>
      </c>
      <c r="B1220" s="3" t="str">
        <f>TEXT(Table1[[#This Row],[Date]], "YYYY-mm")</f>
        <v>2024-07</v>
      </c>
      <c r="C1220" s="4" t="s">
        <v>7</v>
      </c>
      <c r="D1220" s="4" t="s">
        <v>8</v>
      </c>
      <c r="E1220" s="4">
        <v>1</v>
      </c>
      <c r="F1220" s="4">
        <v>63.63</v>
      </c>
      <c r="G1220" s="9">
        <f>Table1[[#This Row],[Quantity]]*Table1[[#This Row],[Price]]</f>
        <v>63.63</v>
      </c>
    </row>
    <row r="1221" spans="1:7" ht="21" customHeight="1" x14ac:dyDescent="0.3">
      <c r="A1221" s="1" t="s">
        <v>160</v>
      </c>
      <c r="B1221" s="1" t="str">
        <f>TEXT(Table1[[#This Row],[Date]], "YYYY-mm")</f>
        <v>2024-02</v>
      </c>
      <c r="C1221" s="2" t="s">
        <v>34</v>
      </c>
      <c r="D1221" s="2" t="s">
        <v>19</v>
      </c>
      <c r="E1221" s="2">
        <v>4</v>
      </c>
      <c r="F1221" s="2">
        <v>545.38</v>
      </c>
      <c r="G1221" s="8">
        <f>Table1[[#This Row],[Quantity]]*Table1[[#This Row],[Price]]</f>
        <v>2181.52</v>
      </c>
    </row>
    <row r="1222" spans="1:7" ht="21" customHeight="1" x14ac:dyDescent="0.3">
      <c r="A1222" s="3" t="s">
        <v>372</v>
      </c>
      <c r="B1222" s="3" t="str">
        <f>TEXT(Table1[[#This Row],[Date]], "YYYY-mm")</f>
        <v>2024-04</v>
      </c>
      <c r="C1222" s="4" t="s">
        <v>12</v>
      </c>
      <c r="D1222" s="4" t="s">
        <v>13</v>
      </c>
      <c r="E1222" s="4">
        <v>4</v>
      </c>
      <c r="F1222" s="4">
        <v>204.13</v>
      </c>
      <c r="G1222" s="9">
        <f>Table1[[#This Row],[Quantity]]*Table1[[#This Row],[Price]]</f>
        <v>816.52</v>
      </c>
    </row>
    <row r="1223" spans="1:7" ht="21" customHeight="1" x14ac:dyDescent="0.3">
      <c r="A1223" s="1" t="s">
        <v>279</v>
      </c>
      <c r="B1223" s="1" t="str">
        <f>TEXT(Table1[[#This Row],[Date]], "YYYY-mm")</f>
        <v>2024-02</v>
      </c>
      <c r="C1223" s="2" t="s">
        <v>7</v>
      </c>
      <c r="D1223" s="2" t="s">
        <v>8</v>
      </c>
      <c r="E1223" s="2">
        <v>8</v>
      </c>
      <c r="F1223" s="2">
        <v>29.19</v>
      </c>
      <c r="G1223" s="8">
        <f>Table1[[#This Row],[Quantity]]*Table1[[#This Row],[Price]]</f>
        <v>233.52</v>
      </c>
    </row>
    <row r="1224" spans="1:7" ht="21" customHeight="1" x14ac:dyDescent="0.3">
      <c r="A1224" s="3" t="s">
        <v>288</v>
      </c>
      <c r="B1224" s="3" t="str">
        <f>TEXT(Table1[[#This Row],[Date]], "YYYY-mm")</f>
        <v>2024-04</v>
      </c>
      <c r="C1224" s="4" t="s">
        <v>27</v>
      </c>
      <c r="D1224" s="4" t="s">
        <v>8</v>
      </c>
      <c r="E1224" s="4">
        <v>12</v>
      </c>
      <c r="F1224" s="4">
        <v>116.07</v>
      </c>
      <c r="G1224" s="9">
        <f>Table1[[#This Row],[Quantity]]*Table1[[#This Row],[Price]]</f>
        <v>1392.84</v>
      </c>
    </row>
    <row r="1225" spans="1:7" ht="21" customHeight="1" x14ac:dyDescent="0.3">
      <c r="A1225" s="1" t="s">
        <v>321</v>
      </c>
      <c r="B1225" s="1" t="str">
        <f>TEXT(Table1[[#This Row],[Date]], "YYYY-mm")</f>
        <v>2024-05</v>
      </c>
      <c r="C1225" s="2" t="s">
        <v>39</v>
      </c>
      <c r="D1225" s="2" t="s">
        <v>8</v>
      </c>
      <c r="E1225" s="2">
        <v>6</v>
      </c>
      <c r="F1225" s="2">
        <v>5.97</v>
      </c>
      <c r="G1225" s="8">
        <f>Table1[[#This Row],[Quantity]]*Table1[[#This Row],[Price]]</f>
        <v>35.82</v>
      </c>
    </row>
    <row r="1226" spans="1:7" ht="21" customHeight="1" x14ac:dyDescent="0.3">
      <c r="A1226" s="3" t="s">
        <v>157</v>
      </c>
      <c r="B1226" s="3" t="str">
        <f>TEXT(Table1[[#This Row],[Date]], "YYYY-mm")</f>
        <v>2024-01</v>
      </c>
      <c r="C1226" s="4" t="s">
        <v>10</v>
      </c>
      <c r="D1226" s="4" t="s">
        <v>8</v>
      </c>
      <c r="E1226" s="4">
        <v>9</v>
      </c>
      <c r="F1226" s="4">
        <v>48.83</v>
      </c>
      <c r="G1226" s="9">
        <f>Table1[[#This Row],[Quantity]]*Table1[[#This Row],[Price]]</f>
        <v>439.46999999999997</v>
      </c>
    </row>
    <row r="1227" spans="1:7" ht="21" customHeight="1" x14ac:dyDescent="0.3">
      <c r="A1227" s="1" t="s">
        <v>191</v>
      </c>
      <c r="B1227" s="1" t="str">
        <f>TEXT(Table1[[#This Row],[Date]], "YYYY-mm")</f>
        <v>2024-07</v>
      </c>
      <c r="C1227" s="2" t="s">
        <v>15</v>
      </c>
      <c r="D1227" s="2" t="s">
        <v>8</v>
      </c>
      <c r="E1227" s="2">
        <v>15</v>
      </c>
      <c r="F1227" s="2">
        <v>7.16</v>
      </c>
      <c r="G1227" s="8">
        <f>Table1[[#This Row],[Quantity]]*Table1[[#This Row],[Price]]</f>
        <v>107.4</v>
      </c>
    </row>
    <row r="1228" spans="1:7" ht="21" customHeight="1" x14ac:dyDescent="0.3">
      <c r="A1228" s="3" t="s">
        <v>357</v>
      </c>
      <c r="B1228" s="3" t="str">
        <f>TEXT(Table1[[#This Row],[Date]], "YYYY-mm")</f>
        <v>2024-11</v>
      </c>
      <c r="C1228" s="4" t="s">
        <v>29</v>
      </c>
      <c r="D1228" s="4" t="s">
        <v>19</v>
      </c>
      <c r="E1228" s="4">
        <v>6</v>
      </c>
      <c r="F1228" s="4">
        <v>1349.06</v>
      </c>
      <c r="G1228" s="9">
        <f>Table1[[#This Row],[Quantity]]*Table1[[#This Row],[Price]]</f>
        <v>8094.36</v>
      </c>
    </row>
    <row r="1229" spans="1:7" ht="21" customHeight="1" x14ac:dyDescent="0.3">
      <c r="A1229" s="1" t="s">
        <v>67</v>
      </c>
      <c r="B1229" s="1" t="str">
        <f>TEXT(Table1[[#This Row],[Date]], "YYYY-mm")</f>
        <v>2024-05</v>
      </c>
      <c r="C1229" s="2" t="s">
        <v>22</v>
      </c>
      <c r="D1229" s="2" t="s">
        <v>13</v>
      </c>
      <c r="E1229" s="2">
        <v>3</v>
      </c>
      <c r="F1229" s="2">
        <v>1749.78</v>
      </c>
      <c r="G1229" s="8">
        <f>Table1[[#This Row],[Quantity]]*Table1[[#This Row],[Price]]</f>
        <v>5249.34</v>
      </c>
    </row>
    <row r="1230" spans="1:7" ht="21" customHeight="1" x14ac:dyDescent="0.3">
      <c r="A1230" s="3" t="s">
        <v>223</v>
      </c>
      <c r="B1230" s="3" t="str">
        <f>TEXT(Table1[[#This Row],[Date]], "YYYY-mm")</f>
        <v>2024-07</v>
      </c>
      <c r="C1230" s="4" t="s">
        <v>39</v>
      </c>
      <c r="D1230" s="4" t="s">
        <v>8</v>
      </c>
      <c r="E1230" s="4">
        <v>8</v>
      </c>
      <c r="F1230" s="4">
        <v>4.0999999999999996</v>
      </c>
      <c r="G1230" s="9">
        <f>Table1[[#This Row],[Quantity]]*Table1[[#This Row],[Price]]</f>
        <v>32.799999999999997</v>
      </c>
    </row>
    <row r="1231" spans="1:7" ht="21" customHeight="1" x14ac:dyDescent="0.3">
      <c r="A1231" s="1" t="s">
        <v>218</v>
      </c>
      <c r="B1231" s="1" t="str">
        <f>TEXT(Table1[[#This Row],[Date]], "YYYY-mm")</f>
        <v>2024-08</v>
      </c>
      <c r="C1231" s="2" t="s">
        <v>12</v>
      </c>
      <c r="D1231" s="2" t="s">
        <v>13</v>
      </c>
      <c r="E1231" s="2">
        <v>9</v>
      </c>
      <c r="F1231" s="2">
        <v>495.3</v>
      </c>
      <c r="G1231" s="8">
        <f>Table1[[#This Row],[Quantity]]*Table1[[#This Row],[Price]]</f>
        <v>4457.7</v>
      </c>
    </row>
    <row r="1232" spans="1:7" ht="21" customHeight="1" x14ac:dyDescent="0.3">
      <c r="A1232" s="3" t="s">
        <v>215</v>
      </c>
      <c r="B1232" s="3" t="str">
        <f>TEXT(Table1[[#This Row],[Date]], "YYYY-mm")</f>
        <v>2024-07</v>
      </c>
      <c r="C1232" s="4" t="s">
        <v>25</v>
      </c>
      <c r="D1232" s="4" t="s">
        <v>19</v>
      </c>
      <c r="E1232" s="4">
        <v>3</v>
      </c>
      <c r="F1232" s="4">
        <v>236.74</v>
      </c>
      <c r="G1232" s="9">
        <f>Table1[[#This Row],[Quantity]]*Table1[[#This Row],[Price]]</f>
        <v>710.22</v>
      </c>
    </row>
    <row r="1233" spans="1:7" ht="21" customHeight="1" x14ac:dyDescent="0.3">
      <c r="A1233" s="1" t="s">
        <v>100</v>
      </c>
      <c r="B1233" s="1" t="str">
        <f>TEXT(Table1[[#This Row],[Date]], "YYYY-mm")</f>
        <v>2024-05</v>
      </c>
      <c r="C1233" s="2" t="s">
        <v>27</v>
      </c>
      <c r="D1233" s="2" t="s">
        <v>8</v>
      </c>
      <c r="E1233" s="2">
        <v>1</v>
      </c>
      <c r="F1233" s="2">
        <v>162.85</v>
      </c>
      <c r="G1233" s="8">
        <f>Table1[[#This Row],[Quantity]]*Table1[[#This Row],[Price]]</f>
        <v>162.85</v>
      </c>
    </row>
    <row r="1234" spans="1:7" ht="21" customHeight="1" x14ac:dyDescent="0.3">
      <c r="A1234" s="3" t="s">
        <v>308</v>
      </c>
      <c r="B1234" s="3" t="str">
        <f>TEXT(Table1[[#This Row],[Date]], "YYYY-mm")</f>
        <v>2024-11</v>
      </c>
      <c r="C1234" s="4" t="s">
        <v>12</v>
      </c>
      <c r="D1234" s="4" t="s">
        <v>13</v>
      </c>
      <c r="E1234" s="4">
        <v>6</v>
      </c>
      <c r="F1234" s="4">
        <v>265.67</v>
      </c>
      <c r="G1234" s="9">
        <f>Table1[[#This Row],[Quantity]]*Table1[[#This Row],[Price]]</f>
        <v>1594.02</v>
      </c>
    </row>
    <row r="1235" spans="1:7" ht="21" customHeight="1" x14ac:dyDescent="0.3">
      <c r="A1235" s="1" t="s">
        <v>111</v>
      </c>
      <c r="B1235" s="1" t="str">
        <f>TEXT(Table1[[#This Row],[Date]], "YYYY-mm")</f>
        <v>2024-11</v>
      </c>
      <c r="C1235" s="2" t="s">
        <v>25</v>
      </c>
      <c r="D1235" s="2" t="s">
        <v>19</v>
      </c>
      <c r="E1235" s="2">
        <v>3</v>
      </c>
      <c r="F1235" s="2">
        <v>1100.24</v>
      </c>
      <c r="G1235" s="8">
        <f>Table1[[#This Row],[Quantity]]*Table1[[#This Row],[Price]]</f>
        <v>3300.7200000000003</v>
      </c>
    </row>
    <row r="1236" spans="1:7" ht="21" customHeight="1" x14ac:dyDescent="0.3">
      <c r="A1236" s="3" t="s">
        <v>368</v>
      </c>
      <c r="B1236" s="3" t="str">
        <f>TEXT(Table1[[#This Row],[Date]], "YYYY-mm")</f>
        <v>2024-01</v>
      </c>
      <c r="C1236" s="4" t="s">
        <v>34</v>
      </c>
      <c r="D1236" s="4" t="s">
        <v>19</v>
      </c>
      <c r="E1236" s="4">
        <v>2</v>
      </c>
      <c r="F1236" s="4">
        <v>612.29999999999995</v>
      </c>
      <c r="G1236" s="9">
        <f>Table1[[#This Row],[Quantity]]*Table1[[#This Row],[Price]]</f>
        <v>1224.5999999999999</v>
      </c>
    </row>
    <row r="1237" spans="1:7" ht="21" customHeight="1" x14ac:dyDescent="0.3">
      <c r="A1237" s="1" t="s">
        <v>176</v>
      </c>
      <c r="B1237" s="1" t="str">
        <f>TEXT(Table1[[#This Row],[Date]], "YYYY-mm")</f>
        <v>2024-03</v>
      </c>
      <c r="C1237" s="2" t="s">
        <v>15</v>
      </c>
      <c r="D1237" s="2" t="s">
        <v>8</v>
      </c>
      <c r="E1237" s="2">
        <v>14</v>
      </c>
      <c r="F1237" s="2">
        <v>5.66</v>
      </c>
      <c r="G1237" s="8">
        <f>Table1[[#This Row],[Quantity]]*Table1[[#This Row],[Price]]</f>
        <v>79.240000000000009</v>
      </c>
    </row>
    <row r="1238" spans="1:7" ht="21" customHeight="1" x14ac:dyDescent="0.3">
      <c r="A1238" s="3" t="s">
        <v>176</v>
      </c>
      <c r="B1238" s="3" t="str">
        <f>TEXT(Table1[[#This Row],[Date]], "YYYY-mm")</f>
        <v>2024-03</v>
      </c>
      <c r="C1238" s="4" t="s">
        <v>22</v>
      </c>
      <c r="D1238" s="4" t="s">
        <v>13</v>
      </c>
      <c r="E1238" s="4">
        <v>6</v>
      </c>
      <c r="F1238" s="4">
        <v>1172.3699999999999</v>
      </c>
      <c r="G1238" s="9">
        <f>Table1[[#This Row],[Quantity]]*Table1[[#This Row],[Price]]</f>
        <v>7034.2199999999993</v>
      </c>
    </row>
    <row r="1239" spans="1:7" ht="21" customHeight="1" x14ac:dyDescent="0.3">
      <c r="A1239" s="1" t="s">
        <v>86</v>
      </c>
      <c r="B1239" s="1" t="str">
        <f>TEXT(Table1[[#This Row],[Date]], "YYYY-mm")</f>
        <v>2024-12</v>
      </c>
      <c r="C1239" s="2" t="s">
        <v>7</v>
      </c>
      <c r="D1239" s="2" t="s">
        <v>8</v>
      </c>
      <c r="E1239" s="2">
        <v>10</v>
      </c>
      <c r="F1239" s="2">
        <v>45.02</v>
      </c>
      <c r="G1239" s="8">
        <f>Table1[[#This Row],[Quantity]]*Table1[[#This Row],[Price]]</f>
        <v>450.20000000000005</v>
      </c>
    </row>
    <row r="1240" spans="1:7" ht="21" customHeight="1" x14ac:dyDescent="0.3">
      <c r="A1240" s="3" t="s">
        <v>32</v>
      </c>
      <c r="B1240" s="3" t="str">
        <f>TEXT(Table1[[#This Row],[Date]], "YYYY-mm")</f>
        <v>2024-11</v>
      </c>
      <c r="C1240" s="4" t="s">
        <v>34</v>
      </c>
      <c r="D1240" s="4" t="s">
        <v>19</v>
      </c>
      <c r="E1240" s="4">
        <v>12</v>
      </c>
      <c r="F1240" s="4">
        <v>1234.8599999999999</v>
      </c>
      <c r="G1240" s="9">
        <f>Table1[[#This Row],[Quantity]]*Table1[[#This Row],[Price]]</f>
        <v>14818.32</v>
      </c>
    </row>
    <row r="1241" spans="1:7" ht="21" customHeight="1" x14ac:dyDescent="0.3">
      <c r="A1241" s="1" t="s">
        <v>72</v>
      </c>
      <c r="B1241" s="1" t="str">
        <f>TEXT(Table1[[#This Row],[Date]], "YYYY-mm")</f>
        <v>2024-09</v>
      </c>
      <c r="C1241" s="2" t="s">
        <v>27</v>
      </c>
      <c r="D1241" s="2" t="s">
        <v>8</v>
      </c>
      <c r="E1241" s="2">
        <v>5</v>
      </c>
      <c r="F1241" s="2">
        <v>174.06</v>
      </c>
      <c r="G1241" s="8">
        <f>Table1[[#This Row],[Quantity]]*Table1[[#This Row],[Price]]</f>
        <v>870.3</v>
      </c>
    </row>
    <row r="1242" spans="1:7" ht="21" customHeight="1" x14ac:dyDescent="0.3">
      <c r="A1242" s="3" t="s">
        <v>192</v>
      </c>
      <c r="B1242" s="3" t="str">
        <f>TEXT(Table1[[#This Row],[Date]], "YYYY-mm")</f>
        <v>2024-02</v>
      </c>
      <c r="C1242" s="4" t="s">
        <v>29</v>
      </c>
      <c r="D1242" s="4" t="s">
        <v>19</v>
      </c>
      <c r="E1242" s="4">
        <v>9</v>
      </c>
      <c r="F1242" s="4">
        <v>1627.54</v>
      </c>
      <c r="G1242" s="9">
        <f>Table1[[#This Row],[Quantity]]*Table1[[#This Row],[Price]]</f>
        <v>14647.86</v>
      </c>
    </row>
    <row r="1243" spans="1:7" ht="21" customHeight="1" x14ac:dyDescent="0.3">
      <c r="A1243" s="1" t="s">
        <v>189</v>
      </c>
      <c r="B1243" s="1" t="str">
        <f>TEXT(Table1[[#This Row],[Date]], "YYYY-mm")</f>
        <v>2024-09</v>
      </c>
      <c r="C1243" s="2" t="s">
        <v>39</v>
      </c>
      <c r="D1243" s="2" t="s">
        <v>8</v>
      </c>
      <c r="E1243" s="2">
        <v>2</v>
      </c>
      <c r="F1243" s="2">
        <v>5.08</v>
      </c>
      <c r="G1243" s="8">
        <f>Table1[[#This Row],[Quantity]]*Table1[[#This Row],[Price]]</f>
        <v>10.16</v>
      </c>
    </row>
    <row r="1244" spans="1:7" ht="21" customHeight="1" x14ac:dyDescent="0.3">
      <c r="A1244" s="3" t="s">
        <v>75</v>
      </c>
      <c r="B1244" s="3" t="str">
        <f>TEXT(Table1[[#This Row],[Date]], "YYYY-mm")</f>
        <v>2024-07</v>
      </c>
      <c r="C1244" s="4" t="s">
        <v>15</v>
      </c>
      <c r="D1244" s="4" t="s">
        <v>8</v>
      </c>
      <c r="E1244" s="4">
        <v>11</v>
      </c>
      <c r="F1244" s="4">
        <v>4.87</v>
      </c>
      <c r="G1244" s="9">
        <f>Table1[[#This Row],[Quantity]]*Table1[[#This Row],[Price]]</f>
        <v>53.57</v>
      </c>
    </row>
    <row r="1245" spans="1:7" ht="21" customHeight="1" x14ac:dyDescent="0.3">
      <c r="A1245" s="1" t="s">
        <v>316</v>
      </c>
      <c r="B1245" s="1" t="str">
        <f>TEXT(Table1[[#This Row],[Date]], "YYYY-mm")</f>
        <v>2024-11</v>
      </c>
      <c r="C1245" s="2" t="s">
        <v>22</v>
      </c>
      <c r="D1245" s="2" t="s">
        <v>13</v>
      </c>
      <c r="E1245" s="2">
        <v>3</v>
      </c>
      <c r="F1245" s="2">
        <v>1228.51</v>
      </c>
      <c r="G1245" s="8">
        <f>Table1[[#This Row],[Quantity]]*Table1[[#This Row],[Price]]</f>
        <v>3685.5299999999997</v>
      </c>
    </row>
    <row r="1246" spans="1:7" ht="21" customHeight="1" x14ac:dyDescent="0.3">
      <c r="A1246" s="3" t="s">
        <v>155</v>
      </c>
      <c r="B1246" s="3" t="str">
        <f>TEXT(Table1[[#This Row],[Date]], "YYYY-mm")</f>
        <v>2024-07</v>
      </c>
      <c r="C1246" s="4" t="s">
        <v>22</v>
      </c>
      <c r="D1246" s="4" t="s">
        <v>13</v>
      </c>
      <c r="E1246" s="4">
        <v>10</v>
      </c>
      <c r="F1246" s="4">
        <v>1760.88</v>
      </c>
      <c r="G1246" s="9">
        <f>Table1[[#This Row],[Quantity]]*Table1[[#This Row],[Price]]</f>
        <v>17608.800000000003</v>
      </c>
    </row>
    <row r="1247" spans="1:7" ht="21" customHeight="1" x14ac:dyDescent="0.3">
      <c r="A1247" s="1" t="s">
        <v>80</v>
      </c>
      <c r="B1247" s="1" t="str">
        <f>TEXT(Table1[[#This Row],[Date]], "YYYY-mm")</f>
        <v>2024-01</v>
      </c>
      <c r="C1247" s="2" t="s">
        <v>12</v>
      </c>
      <c r="D1247" s="2" t="s">
        <v>13</v>
      </c>
      <c r="E1247" s="2">
        <v>14</v>
      </c>
      <c r="F1247" s="2">
        <v>342.53</v>
      </c>
      <c r="G1247" s="8">
        <f>Table1[[#This Row],[Quantity]]*Table1[[#This Row],[Price]]</f>
        <v>4795.42</v>
      </c>
    </row>
    <row r="1248" spans="1:7" ht="21" customHeight="1" x14ac:dyDescent="0.3">
      <c r="A1248" s="3" t="s">
        <v>300</v>
      </c>
      <c r="B1248" s="3" t="str">
        <f>TEXT(Table1[[#This Row],[Date]], "YYYY-mm")</f>
        <v>2024-04</v>
      </c>
      <c r="C1248" s="4" t="s">
        <v>10</v>
      </c>
      <c r="D1248" s="4" t="s">
        <v>8</v>
      </c>
      <c r="E1248" s="4">
        <v>8</v>
      </c>
      <c r="F1248" s="4">
        <v>97.91</v>
      </c>
      <c r="G1248" s="9">
        <f>Table1[[#This Row],[Quantity]]*Table1[[#This Row],[Price]]</f>
        <v>783.28</v>
      </c>
    </row>
    <row r="1249" spans="1:7" ht="21" customHeight="1" x14ac:dyDescent="0.3">
      <c r="A1249" s="1" t="s">
        <v>348</v>
      </c>
      <c r="B1249" s="1" t="str">
        <f>TEXT(Table1[[#This Row],[Date]], "YYYY-mm")</f>
        <v>2024-11</v>
      </c>
      <c r="C1249" s="2" t="s">
        <v>34</v>
      </c>
      <c r="D1249" s="2" t="s">
        <v>19</v>
      </c>
      <c r="E1249" s="2">
        <v>2</v>
      </c>
      <c r="F1249" s="2">
        <v>658.04</v>
      </c>
      <c r="G1249" s="8">
        <f>Table1[[#This Row],[Quantity]]*Table1[[#This Row],[Price]]</f>
        <v>1316.08</v>
      </c>
    </row>
    <row r="1250" spans="1:7" ht="21" customHeight="1" x14ac:dyDescent="0.3">
      <c r="A1250" s="3" t="s">
        <v>321</v>
      </c>
      <c r="B1250" s="3" t="str">
        <f>TEXT(Table1[[#This Row],[Date]], "YYYY-mm")</f>
        <v>2024-05</v>
      </c>
      <c r="C1250" s="4" t="s">
        <v>25</v>
      </c>
      <c r="D1250" s="4" t="s">
        <v>19</v>
      </c>
      <c r="E1250" s="4">
        <v>8</v>
      </c>
      <c r="F1250" s="4">
        <v>1015.46</v>
      </c>
      <c r="G1250" s="9">
        <f>Table1[[#This Row],[Quantity]]*Table1[[#This Row],[Price]]</f>
        <v>8123.68</v>
      </c>
    </row>
    <row r="1251" spans="1:7" ht="21" customHeight="1" x14ac:dyDescent="0.3">
      <c r="A1251" s="1" t="s">
        <v>373</v>
      </c>
      <c r="B1251" s="1" t="str">
        <f>TEXT(Table1[[#This Row],[Date]], "YYYY-mm")</f>
        <v>2024-06</v>
      </c>
      <c r="C1251" s="2" t="s">
        <v>15</v>
      </c>
      <c r="D1251" s="2" t="s">
        <v>8</v>
      </c>
      <c r="E1251" s="2">
        <v>13</v>
      </c>
      <c r="F1251" s="2">
        <v>7.67</v>
      </c>
      <c r="G1251" s="8">
        <f>Table1[[#This Row],[Quantity]]*Table1[[#This Row],[Price]]</f>
        <v>99.71</v>
      </c>
    </row>
    <row r="1252" spans="1:7" ht="21" customHeight="1" x14ac:dyDescent="0.3">
      <c r="A1252" s="3" t="s">
        <v>240</v>
      </c>
      <c r="B1252" s="3" t="str">
        <f>TEXT(Table1[[#This Row],[Date]], "YYYY-mm")</f>
        <v>2024-08</v>
      </c>
      <c r="C1252" s="4" t="s">
        <v>39</v>
      </c>
      <c r="D1252" s="4" t="s">
        <v>8</v>
      </c>
      <c r="E1252" s="4">
        <v>14</v>
      </c>
      <c r="F1252" s="4">
        <v>2.14</v>
      </c>
      <c r="G1252" s="9">
        <f>Table1[[#This Row],[Quantity]]*Table1[[#This Row],[Price]]</f>
        <v>29.96</v>
      </c>
    </row>
    <row r="1253" spans="1:7" ht="21" customHeight="1" x14ac:dyDescent="0.3">
      <c r="A1253" s="1" t="s">
        <v>215</v>
      </c>
      <c r="B1253" s="1" t="str">
        <f>TEXT(Table1[[#This Row],[Date]], "YYYY-mm")</f>
        <v>2024-07</v>
      </c>
      <c r="C1253" s="2" t="s">
        <v>22</v>
      </c>
      <c r="D1253" s="2" t="s">
        <v>13</v>
      </c>
      <c r="E1253" s="2">
        <v>8</v>
      </c>
      <c r="F1253" s="2">
        <v>795.67</v>
      </c>
      <c r="G1253" s="8">
        <f>Table1[[#This Row],[Quantity]]*Table1[[#This Row],[Price]]</f>
        <v>6365.36</v>
      </c>
    </row>
    <row r="1254" spans="1:7" ht="21" customHeight="1" x14ac:dyDescent="0.3">
      <c r="A1254" s="3" t="s">
        <v>65</v>
      </c>
      <c r="B1254" s="3" t="str">
        <f>TEXT(Table1[[#This Row],[Date]], "YYYY-mm")</f>
        <v>2024-04</v>
      </c>
      <c r="C1254" s="4" t="s">
        <v>34</v>
      </c>
      <c r="D1254" s="4" t="s">
        <v>19</v>
      </c>
      <c r="E1254" s="4">
        <v>13</v>
      </c>
      <c r="F1254" s="4">
        <v>631</v>
      </c>
      <c r="G1254" s="9">
        <f>Table1[[#This Row],[Quantity]]*Table1[[#This Row],[Price]]</f>
        <v>8203</v>
      </c>
    </row>
    <row r="1255" spans="1:7" ht="21" customHeight="1" x14ac:dyDescent="0.3">
      <c r="A1255" s="1" t="s">
        <v>175</v>
      </c>
      <c r="B1255" s="1" t="str">
        <f>TEXT(Table1[[#This Row],[Date]], "YYYY-mm")</f>
        <v>2024-07</v>
      </c>
      <c r="C1255" s="2" t="s">
        <v>18</v>
      </c>
      <c r="D1255" s="2" t="s">
        <v>19</v>
      </c>
      <c r="E1255" s="2">
        <v>7</v>
      </c>
      <c r="F1255" s="2">
        <v>663.87</v>
      </c>
      <c r="G1255" s="8">
        <f>Table1[[#This Row],[Quantity]]*Table1[[#This Row],[Price]]</f>
        <v>4647.09</v>
      </c>
    </row>
    <row r="1256" spans="1:7" ht="21" customHeight="1" x14ac:dyDescent="0.3">
      <c r="A1256" s="3" t="s">
        <v>193</v>
      </c>
      <c r="B1256" s="3" t="str">
        <f>TEXT(Table1[[#This Row],[Date]], "YYYY-mm")</f>
        <v>2024-09</v>
      </c>
      <c r="C1256" s="4" t="s">
        <v>22</v>
      </c>
      <c r="D1256" s="4" t="s">
        <v>13</v>
      </c>
      <c r="E1256" s="4">
        <v>6</v>
      </c>
      <c r="F1256" s="4">
        <v>558.92999999999995</v>
      </c>
      <c r="G1256" s="9">
        <f>Table1[[#This Row],[Quantity]]*Table1[[#This Row],[Price]]</f>
        <v>3353.58</v>
      </c>
    </row>
    <row r="1257" spans="1:7" ht="21" customHeight="1" x14ac:dyDescent="0.3">
      <c r="A1257" s="1" t="s">
        <v>145</v>
      </c>
      <c r="B1257" s="1" t="str">
        <f>TEXT(Table1[[#This Row],[Date]], "YYYY-mm")</f>
        <v>2024-01</v>
      </c>
      <c r="C1257" s="2" t="s">
        <v>29</v>
      </c>
      <c r="D1257" s="2" t="s">
        <v>19</v>
      </c>
      <c r="E1257" s="2">
        <v>12</v>
      </c>
      <c r="F1257" s="2">
        <v>2288.4899999999998</v>
      </c>
      <c r="G1257" s="8">
        <f>Table1[[#This Row],[Quantity]]*Table1[[#This Row],[Price]]</f>
        <v>27461.879999999997</v>
      </c>
    </row>
    <row r="1258" spans="1:7" ht="21" customHeight="1" x14ac:dyDescent="0.3">
      <c r="A1258" s="3" t="s">
        <v>128</v>
      </c>
      <c r="B1258" s="3" t="str">
        <f>TEXT(Table1[[#This Row],[Date]], "YYYY-mm")</f>
        <v>2024-03</v>
      </c>
      <c r="C1258" s="4" t="s">
        <v>22</v>
      </c>
      <c r="D1258" s="4" t="s">
        <v>13</v>
      </c>
      <c r="E1258" s="4">
        <v>6</v>
      </c>
      <c r="F1258" s="4">
        <v>1879.72</v>
      </c>
      <c r="G1258" s="9">
        <f>Table1[[#This Row],[Quantity]]*Table1[[#This Row],[Price]]</f>
        <v>11278.32</v>
      </c>
    </row>
    <row r="1259" spans="1:7" ht="21" customHeight="1" x14ac:dyDescent="0.3">
      <c r="A1259" s="1" t="s">
        <v>50</v>
      </c>
      <c r="B1259" s="1" t="str">
        <f>TEXT(Table1[[#This Row],[Date]], "YYYY-mm")</f>
        <v>2024-08</v>
      </c>
      <c r="C1259" s="2" t="s">
        <v>7</v>
      </c>
      <c r="D1259" s="2" t="s">
        <v>8</v>
      </c>
      <c r="E1259" s="2">
        <v>12</v>
      </c>
      <c r="F1259" s="2">
        <v>22.34</v>
      </c>
      <c r="G1259" s="8">
        <f>Table1[[#This Row],[Quantity]]*Table1[[#This Row],[Price]]</f>
        <v>268.08</v>
      </c>
    </row>
    <row r="1260" spans="1:7" ht="21" customHeight="1" x14ac:dyDescent="0.3">
      <c r="A1260" s="3" t="s">
        <v>56</v>
      </c>
      <c r="B1260" s="3" t="str">
        <f>TEXT(Table1[[#This Row],[Date]], "YYYY-mm")</f>
        <v>2024-06</v>
      </c>
      <c r="C1260" s="4" t="s">
        <v>44</v>
      </c>
      <c r="D1260" s="4" t="s">
        <v>8</v>
      </c>
      <c r="E1260" s="4">
        <v>3</v>
      </c>
      <c r="F1260" s="4">
        <v>8.4600000000000009</v>
      </c>
      <c r="G1260" s="9">
        <f>Table1[[#This Row],[Quantity]]*Table1[[#This Row],[Price]]</f>
        <v>25.380000000000003</v>
      </c>
    </row>
    <row r="1261" spans="1:7" ht="21" customHeight="1" x14ac:dyDescent="0.3">
      <c r="A1261" s="1" t="s">
        <v>328</v>
      </c>
      <c r="B1261" s="1" t="str">
        <f>TEXT(Table1[[#This Row],[Date]], "YYYY-mm")</f>
        <v>2024-12</v>
      </c>
      <c r="C1261" s="2" t="s">
        <v>10</v>
      </c>
      <c r="D1261" s="2" t="s">
        <v>8</v>
      </c>
      <c r="E1261" s="2">
        <v>14</v>
      </c>
      <c r="F1261" s="2">
        <v>73.459999999999994</v>
      </c>
      <c r="G1261" s="8">
        <f>Table1[[#This Row],[Quantity]]*Table1[[#This Row],[Price]]</f>
        <v>1028.4399999999998</v>
      </c>
    </row>
    <row r="1262" spans="1:7" ht="21" customHeight="1" x14ac:dyDescent="0.3">
      <c r="A1262" s="3" t="s">
        <v>266</v>
      </c>
      <c r="B1262" s="3" t="str">
        <f>TEXT(Table1[[#This Row],[Date]], "YYYY-mm")</f>
        <v>2024-03</v>
      </c>
      <c r="C1262" s="4" t="s">
        <v>34</v>
      </c>
      <c r="D1262" s="4" t="s">
        <v>19</v>
      </c>
      <c r="E1262" s="4">
        <v>5</v>
      </c>
      <c r="F1262" s="4">
        <v>410.8</v>
      </c>
      <c r="G1262" s="9">
        <f>Table1[[#This Row],[Quantity]]*Table1[[#This Row],[Price]]</f>
        <v>2054</v>
      </c>
    </row>
    <row r="1263" spans="1:7" ht="21" customHeight="1" x14ac:dyDescent="0.3">
      <c r="A1263" s="1" t="s">
        <v>374</v>
      </c>
      <c r="B1263" s="1" t="str">
        <f>TEXT(Table1[[#This Row],[Date]], "YYYY-mm")</f>
        <v>2024-02</v>
      </c>
      <c r="C1263" s="2" t="s">
        <v>27</v>
      </c>
      <c r="D1263" s="2" t="s">
        <v>8</v>
      </c>
      <c r="E1263" s="2">
        <v>3</v>
      </c>
      <c r="F1263" s="2">
        <v>139.74</v>
      </c>
      <c r="G1263" s="8">
        <f>Table1[[#This Row],[Quantity]]*Table1[[#This Row],[Price]]</f>
        <v>419.22</v>
      </c>
    </row>
    <row r="1264" spans="1:7" ht="21" customHeight="1" x14ac:dyDescent="0.3">
      <c r="A1264" s="3" t="s">
        <v>14</v>
      </c>
      <c r="B1264" s="3" t="str">
        <f>TEXT(Table1[[#This Row],[Date]], "YYYY-mm")</f>
        <v>2024-05</v>
      </c>
      <c r="C1264" s="4" t="s">
        <v>22</v>
      </c>
      <c r="D1264" s="4" t="s">
        <v>13</v>
      </c>
      <c r="E1264" s="4">
        <v>7</v>
      </c>
      <c r="F1264" s="4">
        <v>1021.3</v>
      </c>
      <c r="G1264" s="9">
        <f>Table1[[#This Row],[Quantity]]*Table1[[#This Row],[Price]]</f>
        <v>7149.0999999999995</v>
      </c>
    </row>
    <row r="1265" spans="1:7" ht="21" customHeight="1" x14ac:dyDescent="0.3">
      <c r="A1265" s="1" t="s">
        <v>21</v>
      </c>
      <c r="B1265" s="1" t="str">
        <f>TEXT(Table1[[#This Row],[Date]], "YYYY-mm")</f>
        <v>2024-03</v>
      </c>
      <c r="C1265" s="2" t="s">
        <v>15</v>
      </c>
      <c r="D1265" s="2" t="s">
        <v>8</v>
      </c>
      <c r="E1265" s="2">
        <v>2</v>
      </c>
      <c r="F1265" s="2">
        <v>4</v>
      </c>
      <c r="G1265" s="8">
        <f>Table1[[#This Row],[Quantity]]*Table1[[#This Row],[Price]]</f>
        <v>8</v>
      </c>
    </row>
    <row r="1266" spans="1:7" ht="21" customHeight="1" x14ac:dyDescent="0.3">
      <c r="A1266" s="3" t="s">
        <v>238</v>
      </c>
      <c r="B1266" s="3" t="str">
        <f>TEXT(Table1[[#This Row],[Date]], "YYYY-mm")</f>
        <v>2024-07</v>
      </c>
      <c r="C1266" s="4" t="s">
        <v>12</v>
      </c>
      <c r="D1266" s="4" t="s">
        <v>13</v>
      </c>
      <c r="E1266" s="4">
        <v>8</v>
      </c>
      <c r="F1266" s="4">
        <v>496.29</v>
      </c>
      <c r="G1266" s="9">
        <f>Table1[[#This Row],[Quantity]]*Table1[[#This Row],[Price]]</f>
        <v>3970.32</v>
      </c>
    </row>
    <row r="1267" spans="1:7" ht="21" customHeight="1" x14ac:dyDescent="0.3">
      <c r="A1267" s="1" t="s">
        <v>113</v>
      </c>
      <c r="B1267" s="1" t="str">
        <f>TEXT(Table1[[#This Row],[Date]], "YYYY-mm")</f>
        <v>2024-05</v>
      </c>
      <c r="C1267" s="2" t="s">
        <v>29</v>
      </c>
      <c r="D1267" s="2" t="s">
        <v>19</v>
      </c>
      <c r="E1267" s="2">
        <v>11</v>
      </c>
      <c r="F1267" s="2">
        <v>1606.73</v>
      </c>
      <c r="G1267" s="8">
        <f>Table1[[#This Row],[Quantity]]*Table1[[#This Row],[Price]]</f>
        <v>17674.03</v>
      </c>
    </row>
    <row r="1268" spans="1:7" ht="21" customHeight="1" x14ac:dyDescent="0.3">
      <c r="A1268" s="3" t="s">
        <v>168</v>
      </c>
      <c r="B1268" s="3" t="str">
        <f>TEXT(Table1[[#This Row],[Date]], "YYYY-mm")</f>
        <v>2024-03</v>
      </c>
      <c r="C1268" s="4" t="s">
        <v>25</v>
      </c>
      <c r="D1268" s="4" t="s">
        <v>19</v>
      </c>
      <c r="E1268" s="4">
        <v>15</v>
      </c>
      <c r="F1268" s="4">
        <v>1137.8900000000001</v>
      </c>
      <c r="G1268" s="9">
        <f>Table1[[#This Row],[Quantity]]*Table1[[#This Row],[Price]]</f>
        <v>17068.350000000002</v>
      </c>
    </row>
    <row r="1269" spans="1:7" ht="21" customHeight="1" x14ac:dyDescent="0.3">
      <c r="A1269" s="1" t="s">
        <v>257</v>
      </c>
      <c r="B1269" s="1" t="str">
        <f>TEXT(Table1[[#This Row],[Date]], "YYYY-mm")</f>
        <v>2024-11</v>
      </c>
      <c r="C1269" s="2" t="s">
        <v>7</v>
      </c>
      <c r="D1269" s="2" t="s">
        <v>8</v>
      </c>
      <c r="E1269" s="2">
        <v>11</v>
      </c>
      <c r="F1269" s="2">
        <v>33.39</v>
      </c>
      <c r="G1269" s="8">
        <f>Table1[[#This Row],[Quantity]]*Table1[[#This Row],[Price]]</f>
        <v>367.29</v>
      </c>
    </row>
    <row r="1270" spans="1:7" ht="21" customHeight="1" x14ac:dyDescent="0.3">
      <c r="A1270" s="3" t="s">
        <v>263</v>
      </c>
      <c r="B1270" s="3" t="str">
        <f>TEXT(Table1[[#This Row],[Date]], "YYYY-mm")</f>
        <v>2024-10</v>
      </c>
      <c r="C1270" s="4" t="s">
        <v>10</v>
      </c>
      <c r="D1270" s="4" t="s">
        <v>8</v>
      </c>
      <c r="E1270" s="4">
        <v>15</v>
      </c>
      <c r="F1270" s="4">
        <v>93.22</v>
      </c>
      <c r="G1270" s="9">
        <f>Table1[[#This Row],[Quantity]]*Table1[[#This Row],[Price]]</f>
        <v>1398.3</v>
      </c>
    </row>
    <row r="1271" spans="1:7" ht="21" customHeight="1" x14ac:dyDescent="0.3">
      <c r="A1271" s="1" t="s">
        <v>345</v>
      </c>
      <c r="B1271" s="1" t="str">
        <f>TEXT(Table1[[#This Row],[Date]], "YYYY-mm")</f>
        <v>2024-11</v>
      </c>
      <c r="C1271" s="2" t="s">
        <v>39</v>
      </c>
      <c r="D1271" s="2" t="s">
        <v>8</v>
      </c>
      <c r="E1271" s="2">
        <v>9</v>
      </c>
      <c r="F1271" s="2">
        <v>6.68</v>
      </c>
      <c r="G1271" s="8">
        <f>Table1[[#This Row],[Quantity]]*Table1[[#This Row],[Price]]</f>
        <v>60.12</v>
      </c>
    </row>
    <row r="1272" spans="1:7" ht="21" customHeight="1" x14ac:dyDescent="0.3">
      <c r="A1272" s="3" t="s">
        <v>86</v>
      </c>
      <c r="B1272" s="3" t="str">
        <f>TEXT(Table1[[#This Row],[Date]], "YYYY-mm")</f>
        <v>2024-12</v>
      </c>
      <c r="C1272" s="4" t="s">
        <v>44</v>
      </c>
      <c r="D1272" s="4" t="s">
        <v>8</v>
      </c>
      <c r="E1272" s="4">
        <v>13</v>
      </c>
      <c r="F1272" s="4">
        <v>5.23</v>
      </c>
      <c r="G1272" s="9">
        <f>Table1[[#This Row],[Quantity]]*Table1[[#This Row],[Price]]</f>
        <v>67.990000000000009</v>
      </c>
    </row>
    <row r="1273" spans="1:7" ht="21" customHeight="1" x14ac:dyDescent="0.3">
      <c r="A1273" s="1" t="s">
        <v>375</v>
      </c>
      <c r="B1273" s="1" t="str">
        <f>TEXT(Table1[[#This Row],[Date]], "YYYY-mm")</f>
        <v>2024-11</v>
      </c>
      <c r="C1273" s="2" t="s">
        <v>15</v>
      </c>
      <c r="D1273" s="2" t="s">
        <v>8</v>
      </c>
      <c r="E1273" s="2">
        <v>8</v>
      </c>
      <c r="F1273" s="2">
        <v>4.88</v>
      </c>
      <c r="G1273" s="8">
        <f>Table1[[#This Row],[Quantity]]*Table1[[#This Row],[Price]]</f>
        <v>39.04</v>
      </c>
    </row>
    <row r="1274" spans="1:7" ht="21" customHeight="1" x14ac:dyDescent="0.3">
      <c r="A1274" s="3" t="s">
        <v>82</v>
      </c>
      <c r="B1274" s="3" t="str">
        <f>TEXT(Table1[[#This Row],[Date]], "YYYY-mm")</f>
        <v>2024-06</v>
      </c>
      <c r="C1274" s="4" t="s">
        <v>7</v>
      </c>
      <c r="D1274" s="4" t="s">
        <v>8</v>
      </c>
      <c r="E1274" s="4">
        <v>11</v>
      </c>
      <c r="F1274" s="4">
        <v>76.87</v>
      </c>
      <c r="G1274" s="9">
        <f>Table1[[#This Row],[Quantity]]*Table1[[#This Row],[Price]]</f>
        <v>845.57</v>
      </c>
    </row>
    <row r="1275" spans="1:7" ht="21" customHeight="1" x14ac:dyDescent="0.3">
      <c r="A1275" s="1" t="s">
        <v>346</v>
      </c>
      <c r="B1275" s="1" t="str">
        <f>TEXT(Table1[[#This Row],[Date]], "YYYY-mm")</f>
        <v>2024-08</v>
      </c>
      <c r="C1275" s="2" t="s">
        <v>27</v>
      </c>
      <c r="D1275" s="2" t="s">
        <v>8</v>
      </c>
      <c r="E1275" s="2">
        <v>4</v>
      </c>
      <c r="F1275" s="2">
        <v>186.88</v>
      </c>
      <c r="G1275" s="8">
        <f>Table1[[#This Row],[Quantity]]*Table1[[#This Row],[Price]]</f>
        <v>747.52</v>
      </c>
    </row>
    <row r="1276" spans="1:7" ht="21" customHeight="1" x14ac:dyDescent="0.3">
      <c r="A1276" s="3" t="s">
        <v>23</v>
      </c>
      <c r="B1276" s="3" t="str">
        <f>TEXT(Table1[[#This Row],[Date]], "YYYY-mm")</f>
        <v>2024-05</v>
      </c>
      <c r="C1276" s="4" t="s">
        <v>15</v>
      </c>
      <c r="D1276" s="4" t="s">
        <v>8</v>
      </c>
      <c r="E1276" s="4">
        <v>13</v>
      </c>
      <c r="F1276" s="4">
        <v>4.51</v>
      </c>
      <c r="G1276" s="9">
        <f>Table1[[#This Row],[Quantity]]*Table1[[#This Row],[Price]]</f>
        <v>58.629999999999995</v>
      </c>
    </row>
    <row r="1277" spans="1:7" ht="21" customHeight="1" x14ac:dyDescent="0.3">
      <c r="A1277" s="1" t="s">
        <v>142</v>
      </c>
      <c r="B1277" s="1" t="str">
        <f>TEXT(Table1[[#This Row],[Date]], "YYYY-mm")</f>
        <v>2024-03</v>
      </c>
      <c r="C1277" s="2" t="s">
        <v>7</v>
      </c>
      <c r="D1277" s="2" t="s">
        <v>8</v>
      </c>
      <c r="E1277" s="2">
        <v>2</v>
      </c>
      <c r="F1277" s="2">
        <v>74.11</v>
      </c>
      <c r="G1277" s="8">
        <f>Table1[[#This Row],[Quantity]]*Table1[[#This Row],[Price]]</f>
        <v>148.22</v>
      </c>
    </row>
    <row r="1278" spans="1:7" ht="21" customHeight="1" x14ac:dyDescent="0.3">
      <c r="A1278" s="3" t="s">
        <v>376</v>
      </c>
      <c r="B1278" s="3" t="str">
        <f>TEXT(Table1[[#This Row],[Date]], "YYYY-mm")</f>
        <v>2024-10</v>
      </c>
      <c r="C1278" s="4" t="s">
        <v>18</v>
      </c>
      <c r="D1278" s="4" t="s">
        <v>19</v>
      </c>
      <c r="E1278" s="4">
        <v>1</v>
      </c>
      <c r="F1278" s="4">
        <v>279.77</v>
      </c>
      <c r="G1278" s="9">
        <f>Table1[[#This Row],[Quantity]]*Table1[[#This Row],[Price]]</f>
        <v>279.77</v>
      </c>
    </row>
    <row r="1279" spans="1:7" ht="21" customHeight="1" x14ac:dyDescent="0.3">
      <c r="A1279" s="1" t="s">
        <v>94</v>
      </c>
      <c r="B1279" s="1" t="str">
        <f>TEXT(Table1[[#This Row],[Date]], "YYYY-mm")</f>
        <v>2024-11</v>
      </c>
      <c r="C1279" s="2" t="s">
        <v>12</v>
      </c>
      <c r="D1279" s="2" t="s">
        <v>13</v>
      </c>
      <c r="E1279" s="2">
        <v>2</v>
      </c>
      <c r="F1279" s="2">
        <v>473.82</v>
      </c>
      <c r="G1279" s="8">
        <f>Table1[[#This Row],[Quantity]]*Table1[[#This Row],[Price]]</f>
        <v>947.64</v>
      </c>
    </row>
    <row r="1280" spans="1:7" ht="21" customHeight="1" x14ac:dyDescent="0.3">
      <c r="A1280" s="3" t="s">
        <v>14</v>
      </c>
      <c r="B1280" s="3" t="str">
        <f>TEXT(Table1[[#This Row],[Date]], "YYYY-mm")</f>
        <v>2024-05</v>
      </c>
      <c r="C1280" s="4" t="s">
        <v>7</v>
      </c>
      <c r="D1280" s="4" t="s">
        <v>8</v>
      </c>
      <c r="E1280" s="4">
        <v>13</v>
      </c>
      <c r="F1280" s="4">
        <v>37.54</v>
      </c>
      <c r="G1280" s="9">
        <f>Table1[[#This Row],[Quantity]]*Table1[[#This Row],[Price]]</f>
        <v>488.02</v>
      </c>
    </row>
    <row r="1281" spans="1:7" ht="21" customHeight="1" x14ac:dyDescent="0.3">
      <c r="A1281" s="1" t="s">
        <v>165</v>
      </c>
      <c r="B1281" s="1" t="str">
        <f>TEXT(Table1[[#This Row],[Date]], "YYYY-mm")</f>
        <v>2024-12</v>
      </c>
      <c r="C1281" s="2" t="s">
        <v>29</v>
      </c>
      <c r="D1281" s="2" t="s">
        <v>19</v>
      </c>
      <c r="E1281" s="2">
        <v>15</v>
      </c>
      <c r="F1281" s="2">
        <v>516.92999999999995</v>
      </c>
      <c r="G1281" s="8">
        <f>Table1[[#This Row],[Quantity]]*Table1[[#This Row],[Price]]</f>
        <v>7753.9499999999989</v>
      </c>
    </row>
    <row r="1282" spans="1:7" ht="21" customHeight="1" x14ac:dyDescent="0.3">
      <c r="A1282" s="3" t="s">
        <v>217</v>
      </c>
      <c r="B1282" s="3" t="str">
        <f>TEXT(Table1[[#This Row],[Date]], "YYYY-mm")</f>
        <v>2024-12</v>
      </c>
      <c r="C1282" s="4" t="s">
        <v>10</v>
      </c>
      <c r="D1282" s="4" t="s">
        <v>8</v>
      </c>
      <c r="E1282" s="4">
        <v>7</v>
      </c>
      <c r="F1282" s="4">
        <v>108.01</v>
      </c>
      <c r="G1282" s="9">
        <f>Table1[[#This Row],[Quantity]]*Table1[[#This Row],[Price]]</f>
        <v>756.07</v>
      </c>
    </row>
    <row r="1283" spans="1:7" ht="21" customHeight="1" x14ac:dyDescent="0.3">
      <c r="A1283" s="1" t="s">
        <v>81</v>
      </c>
      <c r="B1283" s="1" t="str">
        <f>TEXT(Table1[[#This Row],[Date]], "YYYY-mm")</f>
        <v>2024-09</v>
      </c>
      <c r="C1283" s="2" t="s">
        <v>27</v>
      </c>
      <c r="D1283" s="2" t="s">
        <v>8</v>
      </c>
      <c r="E1283" s="2">
        <v>1</v>
      </c>
      <c r="F1283" s="2">
        <v>186.1</v>
      </c>
      <c r="G1283" s="8">
        <f>Table1[[#This Row],[Quantity]]*Table1[[#This Row],[Price]]</f>
        <v>186.1</v>
      </c>
    </row>
    <row r="1284" spans="1:7" ht="21" customHeight="1" x14ac:dyDescent="0.3">
      <c r="A1284" s="3" t="s">
        <v>293</v>
      </c>
      <c r="B1284" s="3" t="str">
        <f>TEXT(Table1[[#This Row],[Date]], "YYYY-mm")</f>
        <v>2024-02</v>
      </c>
      <c r="C1284" s="4" t="s">
        <v>34</v>
      </c>
      <c r="D1284" s="4" t="s">
        <v>19</v>
      </c>
      <c r="E1284" s="4">
        <v>5</v>
      </c>
      <c r="F1284" s="4">
        <v>1140.53</v>
      </c>
      <c r="G1284" s="9">
        <f>Table1[[#This Row],[Quantity]]*Table1[[#This Row],[Price]]</f>
        <v>5702.65</v>
      </c>
    </row>
    <row r="1285" spans="1:7" ht="21" customHeight="1" x14ac:dyDescent="0.3">
      <c r="A1285" s="1" t="s">
        <v>294</v>
      </c>
      <c r="B1285" s="1" t="str">
        <f>TEXT(Table1[[#This Row],[Date]], "YYYY-mm")</f>
        <v>2024-12</v>
      </c>
      <c r="C1285" s="2" t="s">
        <v>22</v>
      </c>
      <c r="D1285" s="2" t="s">
        <v>13</v>
      </c>
      <c r="E1285" s="2">
        <v>7</v>
      </c>
      <c r="F1285" s="2">
        <v>590.12</v>
      </c>
      <c r="G1285" s="8">
        <f>Table1[[#This Row],[Quantity]]*Table1[[#This Row],[Price]]</f>
        <v>4130.84</v>
      </c>
    </row>
    <row r="1286" spans="1:7" ht="21" customHeight="1" x14ac:dyDescent="0.3">
      <c r="A1286" s="3" t="s">
        <v>322</v>
      </c>
      <c r="B1286" s="3" t="str">
        <f>TEXT(Table1[[#This Row],[Date]], "YYYY-mm")</f>
        <v>2024-07</v>
      </c>
      <c r="C1286" s="4" t="s">
        <v>39</v>
      </c>
      <c r="D1286" s="4" t="s">
        <v>8</v>
      </c>
      <c r="E1286" s="4">
        <v>2</v>
      </c>
      <c r="F1286" s="4">
        <v>3.25</v>
      </c>
      <c r="G1286" s="9">
        <f>Table1[[#This Row],[Quantity]]*Table1[[#This Row],[Price]]</f>
        <v>6.5</v>
      </c>
    </row>
    <row r="1287" spans="1:7" ht="21" customHeight="1" x14ac:dyDescent="0.3">
      <c r="A1287" s="1" t="s">
        <v>26</v>
      </c>
      <c r="B1287" s="1" t="str">
        <f>TEXT(Table1[[#This Row],[Date]], "YYYY-mm")</f>
        <v>2024-01</v>
      </c>
      <c r="C1287" s="2" t="s">
        <v>7</v>
      </c>
      <c r="D1287" s="2" t="s">
        <v>8</v>
      </c>
      <c r="E1287" s="2">
        <v>13</v>
      </c>
      <c r="F1287" s="2">
        <v>63.72</v>
      </c>
      <c r="G1287" s="8">
        <f>Table1[[#This Row],[Quantity]]*Table1[[#This Row],[Price]]</f>
        <v>828.36</v>
      </c>
    </row>
    <row r="1288" spans="1:7" ht="21" customHeight="1" x14ac:dyDescent="0.3">
      <c r="A1288" s="3" t="s">
        <v>216</v>
      </c>
      <c r="B1288" s="3" t="str">
        <f>TEXT(Table1[[#This Row],[Date]], "YYYY-mm")</f>
        <v>2024-02</v>
      </c>
      <c r="C1288" s="4" t="s">
        <v>15</v>
      </c>
      <c r="D1288" s="4" t="s">
        <v>8</v>
      </c>
      <c r="E1288" s="4">
        <v>11</v>
      </c>
      <c r="F1288" s="4">
        <v>7.34</v>
      </c>
      <c r="G1288" s="9">
        <f>Table1[[#This Row],[Quantity]]*Table1[[#This Row],[Price]]</f>
        <v>80.739999999999995</v>
      </c>
    </row>
    <row r="1289" spans="1:7" ht="21" customHeight="1" x14ac:dyDescent="0.3">
      <c r="A1289" s="1" t="s">
        <v>302</v>
      </c>
      <c r="B1289" s="1" t="str">
        <f>TEXT(Table1[[#This Row],[Date]], "YYYY-mm")</f>
        <v>2024-04</v>
      </c>
      <c r="C1289" s="2" t="s">
        <v>10</v>
      </c>
      <c r="D1289" s="2" t="s">
        <v>8</v>
      </c>
      <c r="E1289" s="2">
        <v>11</v>
      </c>
      <c r="F1289" s="2">
        <v>74.540000000000006</v>
      </c>
      <c r="G1289" s="8">
        <f>Table1[[#This Row],[Quantity]]*Table1[[#This Row],[Price]]</f>
        <v>819.94</v>
      </c>
    </row>
    <row r="1290" spans="1:7" ht="21" customHeight="1" x14ac:dyDescent="0.3">
      <c r="A1290" s="3" t="s">
        <v>108</v>
      </c>
      <c r="B1290" s="3" t="str">
        <f>TEXT(Table1[[#This Row],[Date]], "YYYY-mm")</f>
        <v>2024-05</v>
      </c>
      <c r="C1290" s="4" t="s">
        <v>25</v>
      </c>
      <c r="D1290" s="4" t="s">
        <v>19</v>
      </c>
      <c r="E1290" s="4">
        <v>6</v>
      </c>
      <c r="F1290" s="4">
        <v>910.96</v>
      </c>
      <c r="G1290" s="9">
        <f>Table1[[#This Row],[Quantity]]*Table1[[#This Row],[Price]]</f>
        <v>5465.76</v>
      </c>
    </row>
    <row r="1291" spans="1:7" ht="21" customHeight="1" x14ac:dyDescent="0.3">
      <c r="A1291" s="1" t="s">
        <v>367</v>
      </c>
      <c r="B1291" s="1" t="str">
        <f>TEXT(Table1[[#This Row],[Date]], "YYYY-mm")</f>
        <v>2024-02</v>
      </c>
      <c r="C1291" s="2" t="s">
        <v>39</v>
      </c>
      <c r="D1291" s="2" t="s">
        <v>8</v>
      </c>
      <c r="E1291" s="2">
        <v>8</v>
      </c>
      <c r="F1291" s="2">
        <v>6.21</v>
      </c>
      <c r="G1291" s="8">
        <f>Table1[[#This Row],[Quantity]]*Table1[[#This Row],[Price]]</f>
        <v>49.68</v>
      </c>
    </row>
    <row r="1292" spans="1:7" ht="21" customHeight="1" x14ac:dyDescent="0.3">
      <c r="A1292" s="3" t="s">
        <v>253</v>
      </c>
      <c r="B1292" s="3" t="str">
        <f>TEXT(Table1[[#This Row],[Date]], "YYYY-mm")</f>
        <v>2024-01</v>
      </c>
      <c r="C1292" s="4" t="s">
        <v>15</v>
      </c>
      <c r="D1292" s="4" t="s">
        <v>8</v>
      </c>
      <c r="E1292" s="4">
        <v>5</v>
      </c>
      <c r="F1292" s="4">
        <v>8.0500000000000007</v>
      </c>
      <c r="G1292" s="9">
        <f>Table1[[#This Row],[Quantity]]*Table1[[#This Row],[Price]]</f>
        <v>40.25</v>
      </c>
    </row>
    <row r="1293" spans="1:7" ht="21" customHeight="1" x14ac:dyDescent="0.3">
      <c r="A1293" s="1" t="s">
        <v>356</v>
      </c>
      <c r="B1293" s="1" t="str">
        <f>TEXT(Table1[[#This Row],[Date]], "YYYY-mm")</f>
        <v>2024-07</v>
      </c>
      <c r="C1293" s="2" t="s">
        <v>12</v>
      </c>
      <c r="D1293" s="2" t="s">
        <v>13</v>
      </c>
      <c r="E1293" s="2">
        <v>14</v>
      </c>
      <c r="F1293" s="2">
        <v>214.37</v>
      </c>
      <c r="G1293" s="8">
        <f>Table1[[#This Row],[Quantity]]*Table1[[#This Row],[Price]]</f>
        <v>3001.1800000000003</v>
      </c>
    </row>
    <row r="1294" spans="1:7" ht="21" customHeight="1" x14ac:dyDescent="0.3">
      <c r="A1294" s="3" t="s">
        <v>255</v>
      </c>
      <c r="B1294" s="3" t="str">
        <f>TEXT(Table1[[#This Row],[Date]], "YYYY-mm")</f>
        <v>2024-09</v>
      </c>
      <c r="C1294" s="4" t="s">
        <v>29</v>
      </c>
      <c r="D1294" s="4" t="s">
        <v>19</v>
      </c>
      <c r="E1294" s="4">
        <v>1</v>
      </c>
      <c r="F1294" s="4">
        <v>1869.02</v>
      </c>
      <c r="G1294" s="9">
        <f>Table1[[#This Row],[Quantity]]*Table1[[#This Row],[Price]]</f>
        <v>1869.02</v>
      </c>
    </row>
    <row r="1295" spans="1:7" ht="21" customHeight="1" x14ac:dyDescent="0.3">
      <c r="A1295" s="1" t="s">
        <v>284</v>
      </c>
      <c r="B1295" s="1" t="str">
        <f>TEXT(Table1[[#This Row],[Date]], "YYYY-mm")</f>
        <v>2024-11</v>
      </c>
      <c r="C1295" s="2" t="s">
        <v>22</v>
      </c>
      <c r="D1295" s="2" t="s">
        <v>13</v>
      </c>
      <c r="E1295" s="2">
        <v>12</v>
      </c>
      <c r="F1295" s="2">
        <v>1451.23</v>
      </c>
      <c r="G1295" s="8">
        <f>Table1[[#This Row],[Quantity]]*Table1[[#This Row],[Price]]</f>
        <v>17414.760000000002</v>
      </c>
    </row>
    <row r="1296" spans="1:7" ht="21" customHeight="1" x14ac:dyDescent="0.3">
      <c r="A1296" s="3" t="s">
        <v>365</v>
      </c>
      <c r="B1296" s="3" t="str">
        <f>TEXT(Table1[[#This Row],[Date]], "YYYY-mm")</f>
        <v>2024-07</v>
      </c>
      <c r="C1296" s="4" t="s">
        <v>10</v>
      </c>
      <c r="D1296" s="4" t="s">
        <v>8</v>
      </c>
      <c r="E1296" s="4">
        <v>8</v>
      </c>
      <c r="F1296" s="4">
        <v>83</v>
      </c>
      <c r="G1296" s="9">
        <f>Table1[[#This Row],[Quantity]]*Table1[[#This Row],[Price]]</f>
        <v>664</v>
      </c>
    </row>
    <row r="1297" spans="1:7" ht="21" customHeight="1" x14ac:dyDescent="0.3">
      <c r="A1297" s="1" t="s">
        <v>171</v>
      </c>
      <c r="B1297" s="1" t="str">
        <f>TEXT(Table1[[#This Row],[Date]], "YYYY-mm")</f>
        <v>2024-12</v>
      </c>
      <c r="C1297" s="2" t="s">
        <v>34</v>
      </c>
      <c r="D1297" s="2" t="s">
        <v>19</v>
      </c>
      <c r="E1297" s="2">
        <v>2</v>
      </c>
      <c r="F1297" s="2">
        <v>1096.8699999999999</v>
      </c>
      <c r="G1297" s="8">
        <f>Table1[[#This Row],[Quantity]]*Table1[[#This Row],[Price]]</f>
        <v>2193.7399999999998</v>
      </c>
    </row>
    <row r="1298" spans="1:7" ht="21" customHeight="1" x14ac:dyDescent="0.3">
      <c r="A1298" s="3" t="s">
        <v>33</v>
      </c>
      <c r="B1298" s="3" t="str">
        <f>TEXT(Table1[[#This Row],[Date]], "YYYY-mm")</f>
        <v>2024-03</v>
      </c>
      <c r="C1298" s="4" t="s">
        <v>12</v>
      </c>
      <c r="D1298" s="4" t="s">
        <v>13</v>
      </c>
      <c r="E1298" s="4">
        <v>9</v>
      </c>
      <c r="F1298" s="4">
        <v>420.4</v>
      </c>
      <c r="G1298" s="9">
        <f>Table1[[#This Row],[Quantity]]*Table1[[#This Row],[Price]]</f>
        <v>3783.6</v>
      </c>
    </row>
    <row r="1299" spans="1:7" ht="21" customHeight="1" x14ac:dyDescent="0.3">
      <c r="A1299" s="1" t="s">
        <v>139</v>
      </c>
      <c r="B1299" s="1" t="str">
        <f>TEXT(Table1[[#This Row],[Date]], "YYYY-mm")</f>
        <v>2024-01</v>
      </c>
      <c r="C1299" s="2" t="s">
        <v>27</v>
      </c>
      <c r="D1299" s="2" t="s">
        <v>8</v>
      </c>
      <c r="E1299" s="2">
        <v>3</v>
      </c>
      <c r="F1299" s="2">
        <v>124.31</v>
      </c>
      <c r="G1299" s="8">
        <f>Table1[[#This Row],[Quantity]]*Table1[[#This Row],[Price]]</f>
        <v>372.93</v>
      </c>
    </row>
    <row r="1300" spans="1:7" ht="21" customHeight="1" x14ac:dyDescent="0.3">
      <c r="A1300" s="3" t="s">
        <v>207</v>
      </c>
      <c r="B1300" s="3" t="str">
        <f>TEXT(Table1[[#This Row],[Date]], "YYYY-mm")</f>
        <v>2024-02</v>
      </c>
      <c r="C1300" s="4" t="s">
        <v>39</v>
      </c>
      <c r="D1300" s="4" t="s">
        <v>8</v>
      </c>
      <c r="E1300" s="4">
        <v>15</v>
      </c>
      <c r="F1300" s="4">
        <v>4.5999999999999996</v>
      </c>
      <c r="G1300" s="9">
        <f>Table1[[#This Row],[Quantity]]*Table1[[#This Row],[Price]]</f>
        <v>69</v>
      </c>
    </row>
    <row r="1301" spans="1:7" ht="21" customHeight="1" x14ac:dyDescent="0.3">
      <c r="A1301" s="1" t="s">
        <v>334</v>
      </c>
      <c r="B1301" s="1" t="str">
        <f>TEXT(Table1[[#This Row],[Date]], "YYYY-mm")</f>
        <v>2024-10</v>
      </c>
      <c r="C1301" s="2" t="s">
        <v>22</v>
      </c>
      <c r="D1301" s="2" t="s">
        <v>13</v>
      </c>
      <c r="E1301" s="2">
        <v>13</v>
      </c>
      <c r="F1301" s="2">
        <v>1629.38</v>
      </c>
      <c r="G1301" s="8">
        <f>Table1[[#This Row],[Quantity]]*Table1[[#This Row],[Price]]</f>
        <v>21181.940000000002</v>
      </c>
    </row>
    <row r="1302" spans="1:7" ht="21" customHeight="1" x14ac:dyDescent="0.3">
      <c r="A1302" s="3" t="s">
        <v>290</v>
      </c>
      <c r="B1302" s="3" t="str">
        <f>TEXT(Table1[[#This Row],[Date]], "YYYY-mm")</f>
        <v>2024-01</v>
      </c>
      <c r="C1302" s="4" t="s">
        <v>34</v>
      </c>
      <c r="D1302" s="4" t="s">
        <v>19</v>
      </c>
      <c r="E1302" s="4">
        <v>1</v>
      </c>
      <c r="F1302" s="4">
        <v>1188.8499999999999</v>
      </c>
      <c r="G1302" s="9">
        <f>Table1[[#This Row],[Quantity]]*Table1[[#This Row],[Price]]</f>
        <v>1188.8499999999999</v>
      </c>
    </row>
    <row r="1303" spans="1:7" ht="21" customHeight="1" x14ac:dyDescent="0.3">
      <c r="A1303" s="1" t="s">
        <v>46</v>
      </c>
      <c r="B1303" s="1" t="str">
        <f>TEXT(Table1[[#This Row],[Date]], "YYYY-mm")</f>
        <v>2024-05</v>
      </c>
      <c r="C1303" s="2" t="s">
        <v>7</v>
      </c>
      <c r="D1303" s="2" t="s">
        <v>8</v>
      </c>
      <c r="E1303" s="2">
        <v>12</v>
      </c>
      <c r="F1303" s="2">
        <v>56.22</v>
      </c>
      <c r="G1303" s="8">
        <f>Table1[[#This Row],[Quantity]]*Table1[[#This Row],[Price]]</f>
        <v>674.64</v>
      </c>
    </row>
    <row r="1304" spans="1:7" ht="21" customHeight="1" x14ac:dyDescent="0.3">
      <c r="A1304" s="3" t="s">
        <v>9</v>
      </c>
      <c r="B1304" s="3" t="str">
        <f>TEXT(Table1[[#This Row],[Date]], "YYYY-mm")</f>
        <v>2024-04</v>
      </c>
      <c r="C1304" s="4" t="s">
        <v>22</v>
      </c>
      <c r="D1304" s="4" t="s">
        <v>13</v>
      </c>
      <c r="E1304" s="4">
        <v>15</v>
      </c>
      <c r="F1304" s="4">
        <v>942.21</v>
      </c>
      <c r="G1304" s="9">
        <f>Table1[[#This Row],[Quantity]]*Table1[[#This Row],[Price]]</f>
        <v>14133.150000000001</v>
      </c>
    </row>
    <row r="1305" spans="1:7" ht="21" customHeight="1" x14ac:dyDescent="0.3">
      <c r="A1305" s="1" t="s">
        <v>161</v>
      </c>
      <c r="B1305" s="1" t="str">
        <f>TEXT(Table1[[#This Row],[Date]], "YYYY-mm")</f>
        <v>2024-05</v>
      </c>
      <c r="C1305" s="2" t="s">
        <v>22</v>
      </c>
      <c r="D1305" s="2" t="s">
        <v>13</v>
      </c>
      <c r="E1305" s="2">
        <v>1</v>
      </c>
      <c r="F1305" s="2">
        <v>933.04</v>
      </c>
      <c r="G1305" s="8">
        <f>Table1[[#This Row],[Quantity]]*Table1[[#This Row],[Price]]</f>
        <v>933.04</v>
      </c>
    </row>
    <row r="1306" spans="1:7" ht="21" customHeight="1" x14ac:dyDescent="0.3">
      <c r="A1306" s="3" t="s">
        <v>284</v>
      </c>
      <c r="B1306" s="3" t="str">
        <f>TEXT(Table1[[#This Row],[Date]], "YYYY-mm")</f>
        <v>2024-11</v>
      </c>
      <c r="C1306" s="4" t="s">
        <v>10</v>
      </c>
      <c r="D1306" s="4" t="s">
        <v>8</v>
      </c>
      <c r="E1306" s="4">
        <v>8</v>
      </c>
      <c r="F1306" s="4">
        <v>90.2</v>
      </c>
      <c r="G1306" s="9">
        <f>Table1[[#This Row],[Quantity]]*Table1[[#This Row],[Price]]</f>
        <v>721.6</v>
      </c>
    </row>
    <row r="1307" spans="1:7" ht="21" customHeight="1" x14ac:dyDescent="0.3">
      <c r="A1307" s="1" t="s">
        <v>109</v>
      </c>
      <c r="B1307" s="1" t="str">
        <f>TEXT(Table1[[#This Row],[Date]], "YYYY-mm")</f>
        <v>2024-04</v>
      </c>
      <c r="C1307" s="2" t="s">
        <v>18</v>
      </c>
      <c r="D1307" s="2" t="s">
        <v>19</v>
      </c>
      <c r="E1307" s="2">
        <v>4</v>
      </c>
      <c r="F1307" s="2">
        <v>639.91999999999996</v>
      </c>
      <c r="G1307" s="8">
        <f>Table1[[#This Row],[Quantity]]*Table1[[#This Row],[Price]]</f>
        <v>2559.6799999999998</v>
      </c>
    </row>
    <row r="1308" spans="1:7" ht="21" customHeight="1" x14ac:dyDescent="0.3">
      <c r="A1308" s="3" t="s">
        <v>269</v>
      </c>
      <c r="B1308" s="3" t="str">
        <f>TEXT(Table1[[#This Row],[Date]], "YYYY-mm")</f>
        <v>2024-06</v>
      </c>
      <c r="C1308" s="4" t="s">
        <v>7</v>
      </c>
      <c r="D1308" s="4" t="s">
        <v>8</v>
      </c>
      <c r="E1308" s="4">
        <v>15</v>
      </c>
      <c r="F1308" s="4">
        <v>58.95</v>
      </c>
      <c r="G1308" s="9">
        <f>Table1[[#This Row],[Quantity]]*Table1[[#This Row],[Price]]</f>
        <v>884.25</v>
      </c>
    </row>
    <row r="1309" spans="1:7" ht="21" customHeight="1" x14ac:dyDescent="0.3">
      <c r="A1309" s="1" t="s">
        <v>196</v>
      </c>
      <c r="B1309" s="1" t="str">
        <f>TEXT(Table1[[#This Row],[Date]], "YYYY-mm")</f>
        <v>2024-10</v>
      </c>
      <c r="C1309" s="2" t="s">
        <v>44</v>
      </c>
      <c r="D1309" s="2" t="s">
        <v>8</v>
      </c>
      <c r="E1309" s="2">
        <v>1</v>
      </c>
      <c r="F1309" s="2">
        <v>19.23</v>
      </c>
      <c r="G1309" s="8">
        <f>Table1[[#This Row],[Quantity]]*Table1[[#This Row],[Price]]</f>
        <v>19.23</v>
      </c>
    </row>
    <row r="1310" spans="1:7" ht="21" customHeight="1" x14ac:dyDescent="0.3">
      <c r="A1310" s="3" t="s">
        <v>357</v>
      </c>
      <c r="B1310" s="3" t="str">
        <f>TEXT(Table1[[#This Row],[Date]], "YYYY-mm")</f>
        <v>2024-11</v>
      </c>
      <c r="C1310" s="4" t="s">
        <v>18</v>
      </c>
      <c r="D1310" s="4" t="s">
        <v>19</v>
      </c>
      <c r="E1310" s="4">
        <v>2</v>
      </c>
      <c r="F1310" s="4">
        <v>564.75</v>
      </c>
      <c r="G1310" s="9">
        <f>Table1[[#This Row],[Quantity]]*Table1[[#This Row],[Price]]</f>
        <v>1129.5</v>
      </c>
    </row>
    <row r="1311" spans="1:7" ht="21" customHeight="1" x14ac:dyDescent="0.3">
      <c r="A1311" s="1" t="s">
        <v>120</v>
      </c>
      <c r="B1311" s="1" t="str">
        <f>TEXT(Table1[[#This Row],[Date]], "YYYY-mm")</f>
        <v>2024-10</v>
      </c>
      <c r="C1311" s="2" t="s">
        <v>22</v>
      </c>
      <c r="D1311" s="2" t="s">
        <v>13</v>
      </c>
      <c r="E1311" s="2">
        <v>8</v>
      </c>
      <c r="F1311" s="2">
        <v>1710.67</v>
      </c>
      <c r="G1311" s="8">
        <f>Table1[[#This Row],[Quantity]]*Table1[[#This Row],[Price]]</f>
        <v>13685.36</v>
      </c>
    </row>
    <row r="1312" spans="1:7" ht="21" customHeight="1" x14ac:dyDescent="0.3">
      <c r="A1312" s="3" t="s">
        <v>41</v>
      </c>
      <c r="B1312" s="3" t="str">
        <f>TEXT(Table1[[#This Row],[Date]], "YYYY-mm")</f>
        <v>2024-02</v>
      </c>
      <c r="C1312" s="4" t="s">
        <v>25</v>
      </c>
      <c r="D1312" s="4" t="s">
        <v>19</v>
      </c>
      <c r="E1312" s="4">
        <v>14</v>
      </c>
      <c r="F1312" s="4">
        <v>440.54</v>
      </c>
      <c r="G1312" s="9">
        <f>Table1[[#This Row],[Quantity]]*Table1[[#This Row],[Price]]</f>
        <v>6167.56</v>
      </c>
    </row>
    <row r="1313" spans="1:7" ht="21" customHeight="1" x14ac:dyDescent="0.3">
      <c r="A1313" s="1" t="s">
        <v>35</v>
      </c>
      <c r="B1313" s="1" t="str">
        <f>TEXT(Table1[[#This Row],[Date]], "YYYY-mm")</f>
        <v>2024-08</v>
      </c>
      <c r="C1313" s="2" t="s">
        <v>25</v>
      </c>
      <c r="D1313" s="2" t="s">
        <v>19</v>
      </c>
      <c r="E1313" s="2">
        <v>1</v>
      </c>
      <c r="F1313" s="2">
        <v>1142.9000000000001</v>
      </c>
      <c r="G1313" s="8">
        <f>Table1[[#This Row],[Quantity]]*Table1[[#This Row],[Price]]</f>
        <v>1142.9000000000001</v>
      </c>
    </row>
    <row r="1314" spans="1:7" ht="21" customHeight="1" x14ac:dyDescent="0.3">
      <c r="A1314" s="3" t="s">
        <v>134</v>
      </c>
      <c r="B1314" s="3" t="str">
        <f>TEXT(Table1[[#This Row],[Date]], "YYYY-mm")</f>
        <v>2024-08</v>
      </c>
      <c r="C1314" s="4" t="s">
        <v>25</v>
      </c>
      <c r="D1314" s="4" t="s">
        <v>19</v>
      </c>
      <c r="E1314" s="4">
        <v>7</v>
      </c>
      <c r="F1314" s="4">
        <v>930.69</v>
      </c>
      <c r="G1314" s="9">
        <f>Table1[[#This Row],[Quantity]]*Table1[[#This Row],[Price]]</f>
        <v>6514.83</v>
      </c>
    </row>
    <row r="1315" spans="1:7" ht="21" customHeight="1" x14ac:dyDescent="0.3">
      <c r="A1315" s="1" t="s">
        <v>106</v>
      </c>
      <c r="B1315" s="1" t="str">
        <f>TEXT(Table1[[#This Row],[Date]], "YYYY-mm")</f>
        <v>2024-06</v>
      </c>
      <c r="C1315" s="2" t="s">
        <v>7</v>
      </c>
      <c r="D1315" s="2" t="s">
        <v>8</v>
      </c>
      <c r="E1315" s="2">
        <v>7</v>
      </c>
      <c r="F1315" s="2">
        <v>49.23</v>
      </c>
      <c r="G1315" s="8">
        <f>Table1[[#This Row],[Quantity]]*Table1[[#This Row],[Price]]</f>
        <v>344.60999999999996</v>
      </c>
    </row>
    <row r="1316" spans="1:7" ht="21" customHeight="1" x14ac:dyDescent="0.3">
      <c r="A1316" s="3" t="s">
        <v>98</v>
      </c>
      <c r="B1316" s="3" t="str">
        <f>TEXT(Table1[[#This Row],[Date]], "YYYY-mm")</f>
        <v>2024-03</v>
      </c>
      <c r="C1316" s="4" t="s">
        <v>39</v>
      </c>
      <c r="D1316" s="4" t="s">
        <v>8</v>
      </c>
      <c r="E1316" s="4">
        <v>13</v>
      </c>
      <c r="F1316" s="4">
        <v>2.77</v>
      </c>
      <c r="G1316" s="9">
        <f>Table1[[#This Row],[Quantity]]*Table1[[#This Row],[Price]]</f>
        <v>36.01</v>
      </c>
    </row>
    <row r="1317" spans="1:7" ht="21" customHeight="1" x14ac:dyDescent="0.3">
      <c r="A1317" s="1" t="s">
        <v>366</v>
      </c>
      <c r="B1317" s="1" t="str">
        <f>TEXT(Table1[[#This Row],[Date]], "YYYY-mm")</f>
        <v>2024-04</v>
      </c>
      <c r="C1317" s="2" t="s">
        <v>7</v>
      </c>
      <c r="D1317" s="2" t="s">
        <v>8</v>
      </c>
      <c r="E1317" s="2">
        <v>1</v>
      </c>
      <c r="F1317" s="2">
        <v>48.72</v>
      </c>
      <c r="G1317" s="8">
        <f>Table1[[#This Row],[Quantity]]*Table1[[#This Row],[Price]]</f>
        <v>48.72</v>
      </c>
    </row>
    <row r="1318" spans="1:7" ht="21" customHeight="1" x14ac:dyDescent="0.3">
      <c r="A1318" s="3" t="s">
        <v>141</v>
      </c>
      <c r="B1318" s="3" t="str">
        <f>TEXT(Table1[[#This Row],[Date]], "YYYY-mm")</f>
        <v>2024-12</v>
      </c>
      <c r="C1318" s="4" t="s">
        <v>22</v>
      </c>
      <c r="D1318" s="4" t="s">
        <v>13</v>
      </c>
      <c r="E1318" s="4">
        <v>3</v>
      </c>
      <c r="F1318" s="4">
        <v>1800.9</v>
      </c>
      <c r="G1318" s="9">
        <f>Table1[[#This Row],[Quantity]]*Table1[[#This Row],[Price]]</f>
        <v>5402.7000000000007</v>
      </c>
    </row>
    <row r="1319" spans="1:7" ht="21" customHeight="1" x14ac:dyDescent="0.3">
      <c r="A1319" s="1" t="s">
        <v>159</v>
      </c>
      <c r="B1319" s="1" t="str">
        <f>TEXT(Table1[[#This Row],[Date]], "YYYY-mm")</f>
        <v>2024-10</v>
      </c>
      <c r="C1319" s="2" t="s">
        <v>22</v>
      </c>
      <c r="D1319" s="2" t="s">
        <v>13</v>
      </c>
      <c r="E1319" s="2">
        <v>11</v>
      </c>
      <c r="F1319" s="2">
        <v>1028.28</v>
      </c>
      <c r="G1319" s="8">
        <f>Table1[[#This Row],[Quantity]]*Table1[[#This Row],[Price]]</f>
        <v>11311.08</v>
      </c>
    </row>
    <row r="1320" spans="1:7" ht="21" customHeight="1" x14ac:dyDescent="0.3">
      <c r="A1320" s="3" t="s">
        <v>200</v>
      </c>
      <c r="B1320" s="3" t="str">
        <f>TEXT(Table1[[#This Row],[Date]], "YYYY-mm")</f>
        <v>2024-01</v>
      </c>
      <c r="C1320" s="4" t="s">
        <v>27</v>
      </c>
      <c r="D1320" s="4" t="s">
        <v>8</v>
      </c>
      <c r="E1320" s="4">
        <v>7</v>
      </c>
      <c r="F1320" s="4">
        <v>134.13999999999999</v>
      </c>
      <c r="G1320" s="9">
        <f>Table1[[#This Row],[Quantity]]*Table1[[#This Row],[Price]]</f>
        <v>938.9799999999999</v>
      </c>
    </row>
    <row r="1321" spans="1:7" ht="21" customHeight="1" x14ac:dyDescent="0.3">
      <c r="A1321" s="1" t="s">
        <v>167</v>
      </c>
      <c r="B1321" s="1" t="str">
        <f>TEXT(Table1[[#This Row],[Date]], "YYYY-mm")</f>
        <v>2024-11</v>
      </c>
      <c r="C1321" s="2" t="s">
        <v>15</v>
      </c>
      <c r="D1321" s="2" t="s">
        <v>8</v>
      </c>
      <c r="E1321" s="2">
        <v>12</v>
      </c>
      <c r="F1321" s="2">
        <v>8.6300000000000008</v>
      </c>
      <c r="G1321" s="8">
        <f>Table1[[#This Row],[Quantity]]*Table1[[#This Row],[Price]]</f>
        <v>103.56</v>
      </c>
    </row>
    <row r="1322" spans="1:7" ht="21" customHeight="1" x14ac:dyDescent="0.3">
      <c r="A1322" s="3" t="s">
        <v>144</v>
      </c>
      <c r="B1322" s="3" t="str">
        <f>TEXT(Table1[[#This Row],[Date]], "YYYY-mm")</f>
        <v>2024-01</v>
      </c>
      <c r="C1322" s="4" t="s">
        <v>18</v>
      </c>
      <c r="D1322" s="4" t="s">
        <v>19</v>
      </c>
      <c r="E1322" s="4">
        <v>1</v>
      </c>
      <c r="F1322" s="4">
        <v>378.12</v>
      </c>
      <c r="G1322" s="9">
        <f>Table1[[#This Row],[Quantity]]*Table1[[#This Row],[Price]]</f>
        <v>378.12</v>
      </c>
    </row>
    <row r="1323" spans="1:7" ht="21" customHeight="1" x14ac:dyDescent="0.3">
      <c r="A1323" s="1" t="s">
        <v>51</v>
      </c>
      <c r="B1323" s="1" t="str">
        <f>TEXT(Table1[[#This Row],[Date]], "YYYY-mm")</f>
        <v>2024-12</v>
      </c>
      <c r="C1323" s="2" t="s">
        <v>7</v>
      </c>
      <c r="D1323" s="2" t="s">
        <v>8</v>
      </c>
      <c r="E1323" s="2">
        <v>9</v>
      </c>
      <c r="F1323" s="2">
        <v>65.13</v>
      </c>
      <c r="G1323" s="8">
        <f>Table1[[#This Row],[Quantity]]*Table1[[#This Row],[Price]]</f>
        <v>586.16999999999996</v>
      </c>
    </row>
    <row r="1324" spans="1:7" ht="21" customHeight="1" x14ac:dyDescent="0.3">
      <c r="A1324" s="3" t="s">
        <v>150</v>
      </c>
      <c r="B1324" s="3" t="str">
        <f>TEXT(Table1[[#This Row],[Date]], "YYYY-mm")</f>
        <v>2024-11</v>
      </c>
      <c r="C1324" s="4" t="s">
        <v>18</v>
      </c>
      <c r="D1324" s="4" t="s">
        <v>19</v>
      </c>
      <c r="E1324" s="4">
        <v>1</v>
      </c>
      <c r="F1324" s="4">
        <v>982.96</v>
      </c>
      <c r="G1324" s="9">
        <f>Table1[[#This Row],[Quantity]]*Table1[[#This Row],[Price]]</f>
        <v>982.96</v>
      </c>
    </row>
    <row r="1325" spans="1:7" ht="21" customHeight="1" x14ac:dyDescent="0.3">
      <c r="A1325" s="1" t="s">
        <v>148</v>
      </c>
      <c r="B1325" s="1" t="str">
        <f>TEXT(Table1[[#This Row],[Date]], "YYYY-mm")</f>
        <v>2024-01</v>
      </c>
      <c r="C1325" s="2" t="s">
        <v>44</v>
      </c>
      <c r="D1325" s="2" t="s">
        <v>8</v>
      </c>
      <c r="E1325" s="2">
        <v>8</v>
      </c>
      <c r="F1325" s="2">
        <v>9.58</v>
      </c>
      <c r="G1325" s="8">
        <f>Table1[[#This Row],[Quantity]]*Table1[[#This Row],[Price]]</f>
        <v>76.64</v>
      </c>
    </row>
    <row r="1326" spans="1:7" ht="21" customHeight="1" x14ac:dyDescent="0.3">
      <c r="A1326" s="3" t="s">
        <v>332</v>
      </c>
      <c r="B1326" s="3" t="str">
        <f>TEXT(Table1[[#This Row],[Date]], "YYYY-mm")</f>
        <v>2024-04</v>
      </c>
      <c r="C1326" s="4" t="s">
        <v>12</v>
      </c>
      <c r="D1326" s="4" t="s">
        <v>13</v>
      </c>
      <c r="E1326" s="4">
        <v>13</v>
      </c>
      <c r="F1326" s="4">
        <v>420.55</v>
      </c>
      <c r="G1326" s="9">
        <f>Table1[[#This Row],[Quantity]]*Table1[[#This Row],[Price]]</f>
        <v>5467.1500000000005</v>
      </c>
    </row>
    <row r="1327" spans="1:7" ht="21" customHeight="1" x14ac:dyDescent="0.3">
      <c r="A1327" s="1" t="s">
        <v>186</v>
      </c>
      <c r="B1327" s="1" t="str">
        <f>TEXT(Table1[[#This Row],[Date]], "YYYY-mm")</f>
        <v>2024-02</v>
      </c>
      <c r="C1327" s="2" t="s">
        <v>15</v>
      </c>
      <c r="D1327" s="2" t="s">
        <v>8</v>
      </c>
      <c r="E1327" s="2">
        <v>15</v>
      </c>
      <c r="F1327" s="2">
        <v>3.69</v>
      </c>
      <c r="G1327" s="8">
        <f>Table1[[#This Row],[Quantity]]*Table1[[#This Row],[Price]]</f>
        <v>55.35</v>
      </c>
    </row>
    <row r="1328" spans="1:7" ht="21" customHeight="1" x14ac:dyDescent="0.3">
      <c r="A1328" s="3" t="s">
        <v>278</v>
      </c>
      <c r="B1328" s="3" t="str">
        <f>TEXT(Table1[[#This Row],[Date]], "YYYY-mm")</f>
        <v>2024-08</v>
      </c>
      <c r="C1328" s="4" t="s">
        <v>27</v>
      </c>
      <c r="D1328" s="4" t="s">
        <v>8</v>
      </c>
      <c r="E1328" s="4">
        <v>6</v>
      </c>
      <c r="F1328" s="4">
        <v>134.34</v>
      </c>
      <c r="G1328" s="9">
        <f>Table1[[#This Row],[Quantity]]*Table1[[#This Row],[Price]]</f>
        <v>806.04</v>
      </c>
    </row>
    <row r="1329" spans="1:7" ht="21" customHeight="1" x14ac:dyDescent="0.3">
      <c r="A1329" s="1" t="s">
        <v>299</v>
      </c>
      <c r="B1329" s="1" t="str">
        <f>TEXT(Table1[[#This Row],[Date]], "YYYY-mm")</f>
        <v>2024-11</v>
      </c>
      <c r="C1329" s="2" t="s">
        <v>44</v>
      </c>
      <c r="D1329" s="2" t="s">
        <v>8</v>
      </c>
      <c r="E1329" s="2">
        <v>3</v>
      </c>
      <c r="F1329" s="2">
        <v>16.96</v>
      </c>
      <c r="G1329" s="8">
        <f>Table1[[#This Row],[Quantity]]*Table1[[#This Row],[Price]]</f>
        <v>50.88</v>
      </c>
    </row>
    <row r="1330" spans="1:7" ht="21" customHeight="1" x14ac:dyDescent="0.3">
      <c r="A1330" s="3" t="s">
        <v>112</v>
      </c>
      <c r="B1330" s="3" t="str">
        <f>TEXT(Table1[[#This Row],[Date]], "YYYY-mm")</f>
        <v>2024-02</v>
      </c>
      <c r="C1330" s="4" t="s">
        <v>18</v>
      </c>
      <c r="D1330" s="4" t="s">
        <v>19</v>
      </c>
      <c r="E1330" s="4">
        <v>15</v>
      </c>
      <c r="F1330" s="4">
        <v>480.65</v>
      </c>
      <c r="G1330" s="9">
        <f>Table1[[#This Row],[Quantity]]*Table1[[#This Row],[Price]]</f>
        <v>7209.75</v>
      </c>
    </row>
    <row r="1331" spans="1:7" ht="21" customHeight="1" x14ac:dyDescent="0.3">
      <c r="A1331" s="1" t="s">
        <v>109</v>
      </c>
      <c r="B1331" s="1" t="str">
        <f>TEXT(Table1[[#This Row],[Date]], "YYYY-mm")</f>
        <v>2024-04</v>
      </c>
      <c r="C1331" s="2" t="s">
        <v>29</v>
      </c>
      <c r="D1331" s="2" t="s">
        <v>19</v>
      </c>
      <c r="E1331" s="2">
        <v>3</v>
      </c>
      <c r="F1331" s="2">
        <v>1347.36</v>
      </c>
      <c r="G1331" s="8">
        <f>Table1[[#This Row],[Quantity]]*Table1[[#This Row],[Price]]</f>
        <v>4042.08</v>
      </c>
    </row>
    <row r="1332" spans="1:7" ht="21" customHeight="1" x14ac:dyDescent="0.3">
      <c r="A1332" s="3" t="s">
        <v>9</v>
      </c>
      <c r="B1332" s="3" t="str">
        <f>TEXT(Table1[[#This Row],[Date]], "YYYY-mm")</f>
        <v>2024-04</v>
      </c>
      <c r="C1332" s="4" t="s">
        <v>25</v>
      </c>
      <c r="D1332" s="4" t="s">
        <v>19</v>
      </c>
      <c r="E1332" s="4">
        <v>10</v>
      </c>
      <c r="F1332" s="4">
        <v>750.48</v>
      </c>
      <c r="G1332" s="9">
        <f>Table1[[#This Row],[Quantity]]*Table1[[#This Row],[Price]]</f>
        <v>7504.8</v>
      </c>
    </row>
    <row r="1333" spans="1:7" ht="21" customHeight="1" x14ac:dyDescent="0.3">
      <c r="A1333" s="1" t="s">
        <v>262</v>
      </c>
      <c r="B1333" s="1" t="str">
        <f>TEXT(Table1[[#This Row],[Date]], "YYYY-mm")</f>
        <v>2024-11</v>
      </c>
      <c r="C1333" s="2" t="s">
        <v>29</v>
      </c>
      <c r="D1333" s="2" t="s">
        <v>19</v>
      </c>
      <c r="E1333" s="2">
        <v>11</v>
      </c>
      <c r="F1333" s="2">
        <v>1333.42</v>
      </c>
      <c r="G1333" s="8">
        <f>Table1[[#This Row],[Quantity]]*Table1[[#This Row],[Price]]</f>
        <v>14667.62</v>
      </c>
    </row>
    <row r="1334" spans="1:7" ht="21" customHeight="1" x14ac:dyDescent="0.3">
      <c r="A1334" s="3" t="s">
        <v>369</v>
      </c>
      <c r="B1334" s="3" t="str">
        <f>TEXT(Table1[[#This Row],[Date]], "YYYY-mm")</f>
        <v>2024-12</v>
      </c>
      <c r="C1334" s="4" t="s">
        <v>44</v>
      </c>
      <c r="D1334" s="4" t="s">
        <v>8</v>
      </c>
      <c r="E1334" s="4">
        <v>13</v>
      </c>
      <c r="F1334" s="4">
        <v>5.94</v>
      </c>
      <c r="G1334" s="9">
        <f>Table1[[#This Row],[Quantity]]*Table1[[#This Row],[Price]]</f>
        <v>77.22</v>
      </c>
    </row>
    <row r="1335" spans="1:7" ht="21" customHeight="1" x14ac:dyDescent="0.3">
      <c r="A1335" s="1" t="s">
        <v>65</v>
      </c>
      <c r="B1335" s="1" t="str">
        <f>TEXT(Table1[[#This Row],[Date]], "YYYY-mm")</f>
        <v>2024-04</v>
      </c>
      <c r="C1335" s="2" t="s">
        <v>29</v>
      </c>
      <c r="D1335" s="2" t="s">
        <v>19</v>
      </c>
      <c r="E1335" s="2">
        <v>13</v>
      </c>
      <c r="F1335" s="2">
        <v>2071.0300000000002</v>
      </c>
      <c r="G1335" s="8">
        <f>Table1[[#This Row],[Quantity]]*Table1[[#This Row],[Price]]</f>
        <v>26923.390000000003</v>
      </c>
    </row>
    <row r="1336" spans="1:7" ht="21" customHeight="1" x14ac:dyDescent="0.3">
      <c r="A1336" s="3" t="s">
        <v>240</v>
      </c>
      <c r="B1336" s="3" t="str">
        <f>TEXT(Table1[[#This Row],[Date]], "YYYY-mm")</f>
        <v>2024-08</v>
      </c>
      <c r="C1336" s="4" t="s">
        <v>29</v>
      </c>
      <c r="D1336" s="4" t="s">
        <v>19</v>
      </c>
      <c r="E1336" s="4">
        <v>1</v>
      </c>
      <c r="F1336" s="4">
        <v>2004.04</v>
      </c>
      <c r="G1336" s="9">
        <f>Table1[[#This Row],[Quantity]]*Table1[[#This Row],[Price]]</f>
        <v>2004.04</v>
      </c>
    </row>
    <row r="1337" spans="1:7" ht="21" customHeight="1" x14ac:dyDescent="0.3">
      <c r="A1337" s="1" t="s">
        <v>114</v>
      </c>
      <c r="B1337" s="1" t="str">
        <f>TEXT(Table1[[#This Row],[Date]], "YYYY-mm")</f>
        <v>2024-07</v>
      </c>
      <c r="C1337" s="2" t="s">
        <v>12</v>
      </c>
      <c r="D1337" s="2" t="s">
        <v>13</v>
      </c>
      <c r="E1337" s="2">
        <v>6</v>
      </c>
      <c r="F1337" s="2">
        <v>217.52</v>
      </c>
      <c r="G1337" s="8">
        <f>Table1[[#This Row],[Quantity]]*Table1[[#This Row],[Price]]</f>
        <v>1305.1200000000001</v>
      </c>
    </row>
    <row r="1338" spans="1:7" ht="21" customHeight="1" x14ac:dyDescent="0.3">
      <c r="A1338" s="3" t="s">
        <v>358</v>
      </c>
      <c r="B1338" s="3" t="str">
        <f>TEXT(Table1[[#This Row],[Date]], "YYYY-mm")</f>
        <v>2024-09</v>
      </c>
      <c r="C1338" s="4" t="s">
        <v>18</v>
      </c>
      <c r="D1338" s="4" t="s">
        <v>19</v>
      </c>
      <c r="E1338" s="4">
        <v>3</v>
      </c>
      <c r="F1338" s="4">
        <v>529.45000000000005</v>
      </c>
      <c r="G1338" s="9">
        <f>Table1[[#This Row],[Quantity]]*Table1[[#This Row],[Price]]</f>
        <v>1588.3500000000001</v>
      </c>
    </row>
    <row r="1339" spans="1:7" ht="21" customHeight="1" x14ac:dyDescent="0.3">
      <c r="A1339" s="1" t="s">
        <v>212</v>
      </c>
      <c r="B1339" s="1" t="str">
        <f>TEXT(Table1[[#This Row],[Date]], "YYYY-mm")</f>
        <v>2024-06</v>
      </c>
      <c r="C1339" s="2" t="s">
        <v>7</v>
      </c>
      <c r="D1339" s="2" t="s">
        <v>8</v>
      </c>
      <c r="E1339" s="2">
        <v>5</v>
      </c>
      <c r="F1339" s="2">
        <v>73.34</v>
      </c>
      <c r="G1339" s="8">
        <f>Table1[[#This Row],[Quantity]]*Table1[[#This Row],[Price]]</f>
        <v>366.70000000000005</v>
      </c>
    </row>
    <row r="1340" spans="1:7" ht="21" customHeight="1" x14ac:dyDescent="0.3">
      <c r="A1340" s="3" t="s">
        <v>231</v>
      </c>
      <c r="B1340" s="3" t="str">
        <f>TEXT(Table1[[#This Row],[Date]], "YYYY-mm")</f>
        <v>2024-08</v>
      </c>
      <c r="C1340" s="4" t="s">
        <v>25</v>
      </c>
      <c r="D1340" s="4" t="s">
        <v>19</v>
      </c>
      <c r="E1340" s="4">
        <v>11</v>
      </c>
      <c r="F1340" s="4">
        <v>803.24</v>
      </c>
      <c r="G1340" s="9">
        <f>Table1[[#This Row],[Quantity]]*Table1[[#This Row],[Price]]</f>
        <v>8835.64</v>
      </c>
    </row>
    <row r="1341" spans="1:7" ht="21" customHeight="1" x14ac:dyDescent="0.3">
      <c r="A1341" s="1" t="s">
        <v>333</v>
      </c>
      <c r="B1341" s="1" t="str">
        <f>TEXT(Table1[[#This Row],[Date]], "YYYY-mm")</f>
        <v>2024-08</v>
      </c>
      <c r="C1341" s="2" t="s">
        <v>44</v>
      </c>
      <c r="D1341" s="2" t="s">
        <v>8</v>
      </c>
      <c r="E1341" s="2">
        <v>1</v>
      </c>
      <c r="F1341" s="2">
        <v>17.760000000000002</v>
      </c>
      <c r="G1341" s="8">
        <f>Table1[[#This Row],[Quantity]]*Table1[[#This Row],[Price]]</f>
        <v>17.760000000000002</v>
      </c>
    </row>
    <row r="1342" spans="1:7" ht="21" customHeight="1" x14ac:dyDescent="0.3">
      <c r="A1342" s="3" t="s">
        <v>241</v>
      </c>
      <c r="B1342" s="3" t="str">
        <f>TEXT(Table1[[#This Row],[Date]], "YYYY-mm")</f>
        <v>2024-05</v>
      </c>
      <c r="C1342" s="4" t="s">
        <v>12</v>
      </c>
      <c r="D1342" s="4" t="s">
        <v>13</v>
      </c>
      <c r="E1342" s="4">
        <v>9</v>
      </c>
      <c r="F1342" s="4">
        <v>427.59</v>
      </c>
      <c r="G1342" s="9">
        <f>Table1[[#This Row],[Quantity]]*Table1[[#This Row],[Price]]</f>
        <v>3848.31</v>
      </c>
    </row>
    <row r="1343" spans="1:7" ht="21" customHeight="1" x14ac:dyDescent="0.3">
      <c r="A1343" s="1" t="s">
        <v>130</v>
      </c>
      <c r="B1343" s="1" t="str">
        <f>TEXT(Table1[[#This Row],[Date]], "YYYY-mm")</f>
        <v>2024-08</v>
      </c>
      <c r="C1343" s="2" t="s">
        <v>18</v>
      </c>
      <c r="D1343" s="2" t="s">
        <v>19</v>
      </c>
      <c r="E1343" s="2">
        <v>15</v>
      </c>
      <c r="F1343" s="2">
        <v>1489.26</v>
      </c>
      <c r="G1343" s="8">
        <f>Table1[[#This Row],[Quantity]]*Table1[[#This Row],[Price]]</f>
        <v>22338.9</v>
      </c>
    </row>
    <row r="1344" spans="1:7" ht="21" customHeight="1" x14ac:dyDescent="0.3">
      <c r="A1344" s="3" t="s">
        <v>315</v>
      </c>
      <c r="B1344" s="3" t="str">
        <f>TEXT(Table1[[#This Row],[Date]], "YYYY-mm")</f>
        <v>2024-07</v>
      </c>
      <c r="C1344" s="4" t="s">
        <v>15</v>
      </c>
      <c r="D1344" s="4" t="s">
        <v>8</v>
      </c>
      <c r="E1344" s="4">
        <v>7</v>
      </c>
      <c r="F1344" s="4">
        <v>5.12</v>
      </c>
      <c r="G1344" s="9">
        <f>Table1[[#This Row],[Quantity]]*Table1[[#This Row],[Price]]</f>
        <v>35.840000000000003</v>
      </c>
    </row>
    <row r="1345" spans="1:7" ht="21" customHeight="1" x14ac:dyDescent="0.3">
      <c r="A1345" s="1" t="s">
        <v>318</v>
      </c>
      <c r="B1345" s="1" t="str">
        <f>TEXT(Table1[[#This Row],[Date]], "YYYY-mm")</f>
        <v>2024-06</v>
      </c>
      <c r="C1345" s="2" t="s">
        <v>39</v>
      </c>
      <c r="D1345" s="2" t="s">
        <v>8</v>
      </c>
      <c r="E1345" s="2">
        <v>7</v>
      </c>
      <c r="F1345" s="2">
        <v>3.12</v>
      </c>
      <c r="G1345" s="8">
        <f>Table1[[#This Row],[Quantity]]*Table1[[#This Row],[Price]]</f>
        <v>21.84</v>
      </c>
    </row>
    <row r="1346" spans="1:7" ht="21" customHeight="1" x14ac:dyDescent="0.3">
      <c r="A1346" s="3" t="s">
        <v>250</v>
      </c>
      <c r="B1346" s="3" t="str">
        <f>TEXT(Table1[[#This Row],[Date]], "YYYY-mm")</f>
        <v>2024-10</v>
      </c>
      <c r="C1346" s="4" t="s">
        <v>29</v>
      </c>
      <c r="D1346" s="4" t="s">
        <v>19</v>
      </c>
      <c r="E1346" s="4">
        <v>13</v>
      </c>
      <c r="F1346" s="4">
        <v>1069.8499999999999</v>
      </c>
      <c r="G1346" s="9">
        <f>Table1[[#This Row],[Quantity]]*Table1[[#This Row],[Price]]</f>
        <v>13908.05</v>
      </c>
    </row>
    <row r="1347" spans="1:7" ht="21" customHeight="1" x14ac:dyDescent="0.3">
      <c r="A1347" s="1" t="s">
        <v>243</v>
      </c>
      <c r="B1347" s="1" t="str">
        <f>TEXT(Table1[[#This Row],[Date]], "YYYY-mm")</f>
        <v>2024-03</v>
      </c>
      <c r="C1347" s="2" t="s">
        <v>15</v>
      </c>
      <c r="D1347" s="2" t="s">
        <v>8</v>
      </c>
      <c r="E1347" s="2">
        <v>2</v>
      </c>
      <c r="F1347" s="2">
        <v>8.6199999999999992</v>
      </c>
      <c r="G1347" s="8">
        <f>Table1[[#This Row],[Quantity]]*Table1[[#This Row],[Price]]</f>
        <v>17.239999999999998</v>
      </c>
    </row>
    <row r="1348" spans="1:7" ht="21" customHeight="1" x14ac:dyDescent="0.3">
      <c r="A1348" s="3" t="s">
        <v>35</v>
      </c>
      <c r="B1348" s="3" t="str">
        <f>TEXT(Table1[[#This Row],[Date]], "YYYY-mm")</f>
        <v>2024-08</v>
      </c>
      <c r="C1348" s="4" t="s">
        <v>7</v>
      </c>
      <c r="D1348" s="4" t="s">
        <v>8</v>
      </c>
      <c r="E1348" s="4">
        <v>13</v>
      </c>
      <c r="F1348" s="4">
        <v>50.37</v>
      </c>
      <c r="G1348" s="9">
        <f>Table1[[#This Row],[Quantity]]*Table1[[#This Row],[Price]]</f>
        <v>654.80999999999995</v>
      </c>
    </row>
    <row r="1349" spans="1:7" ht="21" customHeight="1" x14ac:dyDescent="0.3">
      <c r="A1349" s="1" t="s">
        <v>93</v>
      </c>
      <c r="B1349" s="1" t="str">
        <f>TEXT(Table1[[#This Row],[Date]], "YYYY-mm")</f>
        <v>2024-08</v>
      </c>
      <c r="C1349" s="2" t="s">
        <v>27</v>
      </c>
      <c r="D1349" s="2" t="s">
        <v>8</v>
      </c>
      <c r="E1349" s="2">
        <v>13</v>
      </c>
      <c r="F1349" s="2">
        <v>80.81</v>
      </c>
      <c r="G1349" s="8">
        <f>Table1[[#This Row],[Quantity]]*Table1[[#This Row],[Price]]</f>
        <v>1050.53</v>
      </c>
    </row>
    <row r="1350" spans="1:7" ht="21" customHeight="1" x14ac:dyDescent="0.3">
      <c r="A1350" s="3" t="s">
        <v>347</v>
      </c>
      <c r="B1350" s="3" t="str">
        <f>TEXT(Table1[[#This Row],[Date]], "YYYY-mm")</f>
        <v>2024-08</v>
      </c>
      <c r="C1350" s="4" t="s">
        <v>15</v>
      </c>
      <c r="D1350" s="4" t="s">
        <v>8</v>
      </c>
      <c r="E1350" s="4">
        <v>9</v>
      </c>
      <c r="F1350" s="4">
        <v>8.17</v>
      </c>
      <c r="G1350" s="9">
        <f>Table1[[#This Row],[Quantity]]*Table1[[#This Row],[Price]]</f>
        <v>73.53</v>
      </c>
    </row>
    <row r="1351" spans="1:7" ht="21" customHeight="1" x14ac:dyDescent="0.3">
      <c r="A1351" s="1" t="s">
        <v>193</v>
      </c>
      <c r="B1351" s="1" t="str">
        <f>TEXT(Table1[[#This Row],[Date]], "YYYY-mm")</f>
        <v>2024-09</v>
      </c>
      <c r="C1351" s="2" t="s">
        <v>7</v>
      </c>
      <c r="D1351" s="2" t="s">
        <v>8</v>
      </c>
      <c r="E1351" s="2">
        <v>5</v>
      </c>
      <c r="F1351" s="2">
        <v>51.99</v>
      </c>
      <c r="G1351" s="8">
        <f>Table1[[#This Row],[Quantity]]*Table1[[#This Row],[Price]]</f>
        <v>259.95</v>
      </c>
    </row>
    <row r="1352" spans="1:7" ht="21" customHeight="1" x14ac:dyDescent="0.3">
      <c r="A1352" s="3" t="s">
        <v>83</v>
      </c>
      <c r="B1352" s="3" t="str">
        <f>TEXT(Table1[[#This Row],[Date]], "YYYY-mm")</f>
        <v>2024-07</v>
      </c>
      <c r="C1352" s="4" t="s">
        <v>22</v>
      </c>
      <c r="D1352" s="4" t="s">
        <v>13</v>
      </c>
      <c r="E1352" s="4">
        <v>9</v>
      </c>
      <c r="F1352" s="4">
        <v>1289.9100000000001</v>
      </c>
      <c r="G1352" s="9">
        <f>Table1[[#This Row],[Quantity]]*Table1[[#This Row],[Price]]</f>
        <v>11609.19</v>
      </c>
    </row>
    <row r="1353" spans="1:7" ht="21" customHeight="1" x14ac:dyDescent="0.3">
      <c r="A1353" s="1" t="s">
        <v>177</v>
      </c>
      <c r="B1353" s="1" t="str">
        <f>TEXT(Table1[[#This Row],[Date]], "YYYY-mm")</f>
        <v>2024-09</v>
      </c>
      <c r="C1353" s="2" t="s">
        <v>18</v>
      </c>
      <c r="D1353" s="2" t="s">
        <v>19</v>
      </c>
      <c r="E1353" s="2">
        <v>13</v>
      </c>
      <c r="F1353" s="2">
        <v>1403.34</v>
      </c>
      <c r="G1353" s="8">
        <f>Table1[[#This Row],[Quantity]]*Table1[[#This Row],[Price]]</f>
        <v>18243.419999999998</v>
      </c>
    </row>
    <row r="1354" spans="1:7" ht="21" customHeight="1" x14ac:dyDescent="0.3">
      <c r="A1354" s="3" t="s">
        <v>56</v>
      </c>
      <c r="B1354" s="3" t="str">
        <f>TEXT(Table1[[#This Row],[Date]], "YYYY-mm")</f>
        <v>2024-06</v>
      </c>
      <c r="C1354" s="4" t="s">
        <v>27</v>
      </c>
      <c r="D1354" s="4" t="s">
        <v>8</v>
      </c>
      <c r="E1354" s="4">
        <v>15</v>
      </c>
      <c r="F1354" s="4">
        <v>197.41</v>
      </c>
      <c r="G1354" s="9">
        <f>Table1[[#This Row],[Quantity]]*Table1[[#This Row],[Price]]</f>
        <v>2961.15</v>
      </c>
    </row>
    <row r="1355" spans="1:7" ht="21" customHeight="1" x14ac:dyDescent="0.3">
      <c r="A1355" s="1" t="s">
        <v>313</v>
      </c>
      <c r="B1355" s="1" t="str">
        <f>TEXT(Table1[[#This Row],[Date]], "YYYY-mm")</f>
        <v>2024-04</v>
      </c>
      <c r="C1355" s="2" t="s">
        <v>27</v>
      </c>
      <c r="D1355" s="2" t="s">
        <v>8</v>
      </c>
      <c r="E1355" s="2">
        <v>9</v>
      </c>
      <c r="F1355" s="2">
        <v>167.38</v>
      </c>
      <c r="G1355" s="8">
        <f>Table1[[#This Row],[Quantity]]*Table1[[#This Row],[Price]]</f>
        <v>1506.42</v>
      </c>
    </row>
    <row r="1356" spans="1:7" ht="21" customHeight="1" x14ac:dyDescent="0.3">
      <c r="A1356" s="3" t="s">
        <v>141</v>
      </c>
      <c r="B1356" s="3" t="str">
        <f>TEXT(Table1[[#This Row],[Date]], "YYYY-mm")</f>
        <v>2024-12</v>
      </c>
      <c r="C1356" s="4" t="s">
        <v>27</v>
      </c>
      <c r="D1356" s="4" t="s">
        <v>8</v>
      </c>
      <c r="E1356" s="4">
        <v>13</v>
      </c>
      <c r="F1356" s="4">
        <v>150.51</v>
      </c>
      <c r="G1356" s="9">
        <f>Table1[[#This Row],[Quantity]]*Table1[[#This Row],[Price]]</f>
        <v>1956.6299999999999</v>
      </c>
    </row>
    <row r="1357" spans="1:7" ht="21" customHeight="1" x14ac:dyDescent="0.3">
      <c r="A1357" s="1" t="s">
        <v>272</v>
      </c>
      <c r="B1357" s="1" t="str">
        <f>TEXT(Table1[[#This Row],[Date]], "YYYY-mm")</f>
        <v>2024-05</v>
      </c>
      <c r="C1357" s="2" t="s">
        <v>44</v>
      </c>
      <c r="D1357" s="2" t="s">
        <v>8</v>
      </c>
      <c r="E1357" s="2">
        <v>4</v>
      </c>
      <c r="F1357" s="2">
        <v>13.23</v>
      </c>
      <c r="G1357" s="8">
        <f>Table1[[#This Row],[Quantity]]*Table1[[#This Row],[Price]]</f>
        <v>52.92</v>
      </c>
    </row>
    <row r="1358" spans="1:7" ht="21" customHeight="1" x14ac:dyDescent="0.3">
      <c r="A1358" s="3" t="s">
        <v>199</v>
      </c>
      <c r="B1358" s="3" t="str">
        <f>TEXT(Table1[[#This Row],[Date]], "YYYY-mm")</f>
        <v>2024-09</v>
      </c>
      <c r="C1358" s="4" t="s">
        <v>15</v>
      </c>
      <c r="D1358" s="4" t="s">
        <v>8</v>
      </c>
      <c r="E1358" s="4">
        <v>9</v>
      </c>
      <c r="F1358" s="4">
        <v>7.83</v>
      </c>
      <c r="G1358" s="9">
        <f>Table1[[#This Row],[Quantity]]*Table1[[#This Row],[Price]]</f>
        <v>70.47</v>
      </c>
    </row>
    <row r="1359" spans="1:7" ht="21" customHeight="1" x14ac:dyDescent="0.3">
      <c r="A1359" s="1" t="s">
        <v>144</v>
      </c>
      <c r="B1359" s="1" t="str">
        <f>TEXT(Table1[[#This Row],[Date]], "YYYY-mm")</f>
        <v>2024-01</v>
      </c>
      <c r="C1359" s="2" t="s">
        <v>34</v>
      </c>
      <c r="D1359" s="2" t="s">
        <v>19</v>
      </c>
      <c r="E1359" s="2">
        <v>3</v>
      </c>
      <c r="F1359" s="2">
        <v>1770.63</v>
      </c>
      <c r="G1359" s="8">
        <f>Table1[[#This Row],[Quantity]]*Table1[[#This Row],[Price]]</f>
        <v>5311.89</v>
      </c>
    </row>
    <row r="1360" spans="1:7" ht="21" customHeight="1" x14ac:dyDescent="0.3">
      <c r="A1360" s="3" t="s">
        <v>112</v>
      </c>
      <c r="B1360" s="3" t="str">
        <f>TEXT(Table1[[#This Row],[Date]], "YYYY-mm")</f>
        <v>2024-02</v>
      </c>
      <c r="C1360" s="4" t="s">
        <v>29</v>
      </c>
      <c r="D1360" s="4" t="s">
        <v>19</v>
      </c>
      <c r="E1360" s="4">
        <v>1</v>
      </c>
      <c r="F1360" s="4">
        <v>1530.84</v>
      </c>
      <c r="G1360" s="9">
        <f>Table1[[#This Row],[Quantity]]*Table1[[#This Row],[Price]]</f>
        <v>1530.84</v>
      </c>
    </row>
    <row r="1361" spans="1:7" ht="21" customHeight="1" x14ac:dyDescent="0.3">
      <c r="A1361" s="1" t="s">
        <v>161</v>
      </c>
      <c r="B1361" s="1" t="str">
        <f>TEXT(Table1[[#This Row],[Date]], "YYYY-mm")</f>
        <v>2024-05</v>
      </c>
      <c r="C1361" s="2" t="s">
        <v>22</v>
      </c>
      <c r="D1361" s="2" t="s">
        <v>13</v>
      </c>
      <c r="E1361" s="2">
        <v>13</v>
      </c>
      <c r="F1361" s="2">
        <v>997.74</v>
      </c>
      <c r="G1361" s="8">
        <f>Table1[[#This Row],[Quantity]]*Table1[[#This Row],[Price]]</f>
        <v>12970.62</v>
      </c>
    </row>
    <row r="1362" spans="1:7" ht="21" customHeight="1" x14ac:dyDescent="0.3">
      <c r="A1362" s="3" t="s">
        <v>339</v>
      </c>
      <c r="B1362" s="3" t="str">
        <f>TEXT(Table1[[#This Row],[Date]], "YYYY-mm")</f>
        <v>2024-06</v>
      </c>
      <c r="C1362" s="4" t="s">
        <v>12</v>
      </c>
      <c r="D1362" s="4" t="s">
        <v>13</v>
      </c>
      <c r="E1362" s="4">
        <v>4</v>
      </c>
      <c r="F1362" s="4">
        <v>380.09</v>
      </c>
      <c r="G1362" s="9">
        <f>Table1[[#This Row],[Quantity]]*Table1[[#This Row],[Price]]</f>
        <v>1520.36</v>
      </c>
    </row>
    <row r="1363" spans="1:7" ht="21" customHeight="1" x14ac:dyDescent="0.3">
      <c r="A1363" s="1" t="s">
        <v>236</v>
      </c>
      <c r="B1363" s="1" t="str">
        <f>TEXT(Table1[[#This Row],[Date]], "YYYY-mm")</f>
        <v>2024-09</v>
      </c>
      <c r="C1363" s="2" t="s">
        <v>27</v>
      </c>
      <c r="D1363" s="2" t="s">
        <v>8</v>
      </c>
      <c r="E1363" s="2">
        <v>5</v>
      </c>
      <c r="F1363" s="2">
        <v>140.75</v>
      </c>
      <c r="G1363" s="8">
        <f>Table1[[#This Row],[Quantity]]*Table1[[#This Row],[Price]]</f>
        <v>703.75</v>
      </c>
    </row>
    <row r="1364" spans="1:7" ht="21" customHeight="1" x14ac:dyDescent="0.3">
      <c r="A1364" s="3" t="s">
        <v>20</v>
      </c>
      <c r="B1364" s="3" t="str">
        <f>TEXT(Table1[[#This Row],[Date]], "YYYY-mm")</f>
        <v>2024-10</v>
      </c>
      <c r="C1364" s="4" t="s">
        <v>22</v>
      </c>
      <c r="D1364" s="4" t="s">
        <v>13</v>
      </c>
      <c r="E1364" s="4">
        <v>6</v>
      </c>
      <c r="F1364" s="4">
        <v>638.12</v>
      </c>
      <c r="G1364" s="9">
        <f>Table1[[#This Row],[Quantity]]*Table1[[#This Row],[Price]]</f>
        <v>3828.7200000000003</v>
      </c>
    </row>
    <row r="1365" spans="1:7" ht="21" customHeight="1" x14ac:dyDescent="0.3">
      <c r="A1365" s="1" t="s">
        <v>222</v>
      </c>
      <c r="B1365" s="1" t="str">
        <f>TEXT(Table1[[#This Row],[Date]], "YYYY-mm")</f>
        <v>2024-06</v>
      </c>
      <c r="C1365" s="2" t="s">
        <v>27</v>
      </c>
      <c r="D1365" s="2" t="s">
        <v>8</v>
      </c>
      <c r="E1365" s="2">
        <v>11</v>
      </c>
      <c r="F1365" s="2">
        <v>212.98</v>
      </c>
      <c r="G1365" s="8">
        <f>Table1[[#This Row],[Quantity]]*Table1[[#This Row],[Price]]</f>
        <v>2342.7799999999997</v>
      </c>
    </row>
    <row r="1366" spans="1:7" ht="21" customHeight="1" x14ac:dyDescent="0.3">
      <c r="A1366" s="3" t="s">
        <v>11</v>
      </c>
      <c r="B1366" s="3" t="str">
        <f>TEXT(Table1[[#This Row],[Date]], "YYYY-mm")</f>
        <v>2024-10</v>
      </c>
      <c r="C1366" s="4" t="s">
        <v>29</v>
      </c>
      <c r="D1366" s="4" t="s">
        <v>19</v>
      </c>
      <c r="E1366" s="4">
        <v>11</v>
      </c>
      <c r="F1366" s="4">
        <v>746.94</v>
      </c>
      <c r="G1366" s="9">
        <f>Table1[[#This Row],[Quantity]]*Table1[[#This Row],[Price]]</f>
        <v>8216.34</v>
      </c>
    </row>
    <row r="1367" spans="1:7" ht="21" customHeight="1" x14ac:dyDescent="0.3">
      <c r="A1367" s="1" t="s">
        <v>9</v>
      </c>
      <c r="B1367" s="1" t="str">
        <f>TEXT(Table1[[#This Row],[Date]], "YYYY-mm")</f>
        <v>2024-04</v>
      </c>
      <c r="C1367" s="2" t="s">
        <v>7</v>
      </c>
      <c r="D1367" s="2" t="s">
        <v>8</v>
      </c>
      <c r="E1367" s="2">
        <v>4</v>
      </c>
      <c r="F1367" s="2">
        <v>30.61</v>
      </c>
      <c r="G1367" s="8">
        <f>Table1[[#This Row],[Quantity]]*Table1[[#This Row],[Price]]</f>
        <v>122.44</v>
      </c>
    </row>
    <row r="1368" spans="1:7" ht="21" customHeight="1" x14ac:dyDescent="0.3">
      <c r="A1368" s="3" t="s">
        <v>155</v>
      </c>
      <c r="B1368" s="3" t="str">
        <f>TEXT(Table1[[#This Row],[Date]], "YYYY-mm")</f>
        <v>2024-07</v>
      </c>
      <c r="C1368" s="4" t="s">
        <v>25</v>
      </c>
      <c r="D1368" s="4" t="s">
        <v>19</v>
      </c>
      <c r="E1368" s="4">
        <v>13</v>
      </c>
      <c r="F1368" s="4">
        <v>959.9</v>
      </c>
      <c r="G1368" s="9">
        <f>Table1[[#This Row],[Quantity]]*Table1[[#This Row],[Price]]</f>
        <v>12478.699999999999</v>
      </c>
    </row>
    <row r="1369" spans="1:7" ht="21" customHeight="1" x14ac:dyDescent="0.3">
      <c r="A1369" s="1" t="s">
        <v>229</v>
      </c>
      <c r="B1369" s="1" t="str">
        <f>TEXT(Table1[[#This Row],[Date]], "YYYY-mm")</f>
        <v>2024-05</v>
      </c>
      <c r="C1369" s="2" t="s">
        <v>10</v>
      </c>
      <c r="D1369" s="2" t="s">
        <v>8</v>
      </c>
      <c r="E1369" s="2">
        <v>5</v>
      </c>
      <c r="F1369" s="2">
        <v>42.65</v>
      </c>
      <c r="G1369" s="8">
        <f>Table1[[#This Row],[Quantity]]*Table1[[#This Row],[Price]]</f>
        <v>213.25</v>
      </c>
    </row>
    <row r="1370" spans="1:7" ht="21" customHeight="1" x14ac:dyDescent="0.3">
      <c r="A1370" s="3" t="s">
        <v>313</v>
      </c>
      <c r="B1370" s="3" t="str">
        <f>TEXT(Table1[[#This Row],[Date]], "YYYY-mm")</f>
        <v>2024-04</v>
      </c>
      <c r="C1370" s="4" t="s">
        <v>44</v>
      </c>
      <c r="D1370" s="4" t="s">
        <v>8</v>
      </c>
      <c r="E1370" s="4">
        <v>3</v>
      </c>
      <c r="F1370" s="4">
        <v>9.43</v>
      </c>
      <c r="G1370" s="9">
        <f>Table1[[#This Row],[Quantity]]*Table1[[#This Row],[Price]]</f>
        <v>28.29</v>
      </c>
    </row>
    <row r="1371" spans="1:7" ht="21" customHeight="1" x14ac:dyDescent="0.3">
      <c r="A1371" s="1" t="s">
        <v>60</v>
      </c>
      <c r="B1371" s="1" t="str">
        <f>TEXT(Table1[[#This Row],[Date]], "YYYY-mm")</f>
        <v>2024-11</v>
      </c>
      <c r="C1371" s="2" t="s">
        <v>27</v>
      </c>
      <c r="D1371" s="2" t="s">
        <v>8</v>
      </c>
      <c r="E1371" s="2">
        <v>7</v>
      </c>
      <c r="F1371" s="2">
        <v>216.02</v>
      </c>
      <c r="G1371" s="8">
        <f>Table1[[#This Row],[Quantity]]*Table1[[#This Row],[Price]]</f>
        <v>1512.14</v>
      </c>
    </row>
    <row r="1372" spans="1:7" ht="21" customHeight="1" x14ac:dyDescent="0.3">
      <c r="A1372" s="3" t="s">
        <v>235</v>
      </c>
      <c r="B1372" s="3" t="str">
        <f>TEXT(Table1[[#This Row],[Date]], "YYYY-mm")</f>
        <v>2024-09</v>
      </c>
      <c r="C1372" s="4" t="s">
        <v>27</v>
      </c>
      <c r="D1372" s="4" t="s">
        <v>8</v>
      </c>
      <c r="E1372" s="4">
        <v>4</v>
      </c>
      <c r="F1372" s="4">
        <v>141.1</v>
      </c>
      <c r="G1372" s="9">
        <f>Table1[[#This Row],[Quantity]]*Table1[[#This Row],[Price]]</f>
        <v>564.4</v>
      </c>
    </row>
    <row r="1373" spans="1:7" ht="21" customHeight="1" x14ac:dyDescent="0.3">
      <c r="A1373" s="1" t="s">
        <v>266</v>
      </c>
      <c r="B1373" s="1" t="str">
        <f>TEXT(Table1[[#This Row],[Date]], "YYYY-mm")</f>
        <v>2024-03</v>
      </c>
      <c r="C1373" s="2" t="s">
        <v>29</v>
      </c>
      <c r="D1373" s="2" t="s">
        <v>19</v>
      </c>
      <c r="E1373" s="2">
        <v>5</v>
      </c>
      <c r="F1373" s="2">
        <v>2306.2399999999998</v>
      </c>
      <c r="G1373" s="8">
        <f>Table1[[#This Row],[Quantity]]*Table1[[#This Row],[Price]]</f>
        <v>11531.199999999999</v>
      </c>
    </row>
    <row r="1374" spans="1:7" ht="21" customHeight="1" x14ac:dyDescent="0.3">
      <c r="A1374" s="3" t="s">
        <v>328</v>
      </c>
      <c r="B1374" s="3" t="str">
        <f>TEXT(Table1[[#This Row],[Date]], "YYYY-mm")</f>
        <v>2024-12</v>
      </c>
      <c r="C1374" s="4" t="s">
        <v>29</v>
      </c>
      <c r="D1374" s="4" t="s">
        <v>19</v>
      </c>
      <c r="E1374" s="4">
        <v>4</v>
      </c>
      <c r="F1374" s="4">
        <v>1798.13</v>
      </c>
      <c r="G1374" s="9">
        <f>Table1[[#This Row],[Quantity]]*Table1[[#This Row],[Price]]</f>
        <v>7192.52</v>
      </c>
    </row>
    <row r="1375" spans="1:7" ht="21" customHeight="1" x14ac:dyDescent="0.3">
      <c r="A1375" s="1" t="s">
        <v>377</v>
      </c>
      <c r="B1375" s="1" t="str">
        <f>TEXT(Table1[[#This Row],[Date]], "YYYY-mm")</f>
        <v>2024-09</v>
      </c>
      <c r="C1375" s="2" t="s">
        <v>34</v>
      </c>
      <c r="D1375" s="2" t="s">
        <v>19</v>
      </c>
      <c r="E1375" s="2">
        <v>7</v>
      </c>
      <c r="F1375" s="2">
        <v>616.61</v>
      </c>
      <c r="G1375" s="8">
        <f>Table1[[#This Row],[Quantity]]*Table1[[#This Row],[Price]]</f>
        <v>4316.2700000000004</v>
      </c>
    </row>
    <row r="1376" spans="1:7" ht="21" customHeight="1" x14ac:dyDescent="0.3">
      <c r="A1376" s="3" t="s">
        <v>105</v>
      </c>
      <c r="B1376" s="3" t="str">
        <f>TEXT(Table1[[#This Row],[Date]], "YYYY-mm")</f>
        <v>2024-12</v>
      </c>
      <c r="C1376" s="4" t="s">
        <v>22</v>
      </c>
      <c r="D1376" s="4" t="s">
        <v>13</v>
      </c>
      <c r="E1376" s="4">
        <v>9</v>
      </c>
      <c r="F1376" s="4">
        <v>1156.44</v>
      </c>
      <c r="G1376" s="9">
        <f>Table1[[#This Row],[Quantity]]*Table1[[#This Row],[Price]]</f>
        <v>10407.960000000001</v>
      </c>
    </row>
    <row r="1377" spans="1:7" ht="21" customHeight="1" x14ac:dyDescent="0.3">
      <c r="A1377" s="1" t="s">
        <v>307</v>
      </c>
      <c r="B1377" s="1" t="str">
        <f>TEXT(Table1[[#This Row],[Date]], "YYYY-mm")</f>
        <v>2024-09</v>
      </c>
      <c r="C1377" s="2" t="s">
        <v>39</v>
      </c>
      <c r="D1377" s="2" t="s">
        <v>8</v>
      </c>
      <c r="E1377" s="2">
        <v>8</v>
      </c>
      <c r="F1377" s="2">
        <v>6.4</v>
      </c>
      <c r="G1377" s="8">
        <f>Table1[[#This Row],[Quantity]]*Table1[[#This Row],[Price]]</f>
        <v>51.2</v>
      </c>
    </row>
    <row r="1378" spans="1:7" ht="21" customHeight="1" x14ac:dyDescent="0.3">
      <c r="A1378" s="3" t="s">
        <v>254</v>
      </c>
      <c r="B1378" s="3" t="str">
        <f>TEXT(Table1[[#This Row],[Date]], "YYYY-mm")</f>
        <v>2024-09</v>
      </c>
      <c r="C1378" s="4" t="s">
        <v>18</v>
      </c>
      <c r="D1378" s="4" t="s">
        <v>19</v>
      </c>
      <c r="E1378" s="4">
        <v>7</v>
      </c>
      <c r="F1378" s="4">
        <v>1280.7</v>
      </c>
      <c r="G1378" s="9">
        <f>Table1[[#This Row],[Quantity]]*Table1[[#This Row],[Price]]</f>
        <v>8964.9</v>
      </c>
    </row>
    <row r="1379" spans="1:7" ht="21" customHeight="1" x14ac:dyDescent="0.3">
      <c r="A1379" s="1" t="s">
        <v>161</v>
      </c>
      <c r="B1379" s="1" t="str">
        <f>TEXT(Table1[[#This Row],[Date]], "YYYY-mm")</f>
        <v>2024-05</v>
      </c>
      <c r="C1379" s="2" t="s">
        <v>34</v>
      </c>
      <c r="D1379" s="2" t="s">
        <v>19</v>
      </c>
      <c r="E1379" s="2">
        <v>13</v>
      </c>
      <c r="F1379" s="2">
        <v>674.15</v>
      </c>
      <c r="G1379" s="8">
        <f>Table1[[#This Row],[Quantity]]*Table1[[#This Row],[Price]]</f>
        <v>8763.9499999999989</v>
      </c>
    </row>
    <row r="1380" spans="1:7" ht="21" customHeight="1" x14ac:dyDescent="0.3">
      <c r="A1380" s="3" t="s">
        <v>31</v>
      </c>
      <c r="B1380" s="3" t="str">
        <f>TEXT(Table1[[#This Row],[Date]], "YYYY-mm")</f>
        <v>2024-08</v>
      </c>
      <c r="C1380" s="4" t="s">
        <v>18</v>
      </c>
      <c r="D1380" s="4" t="s">
        <v>19</v>
      </c>
      <c r="E1380" s="4">
        <v>10</v>
      </c>
      <c r="F1380" s="4">
        <v>1150.6500000000001</v>
      </c>
      <c r="G1380" s="9">
        <f>Table1[[#This Row],[Quantity]]*Table1[[#This Row],[Price]]</f>
        <v>11506.5</v>
      </c>
    </row>
    <row r="1381" spans="1:7" ht="21" customHeight="1" x14ac:dyDescent="0.3">
      <c r="A1381" s="1" t="s">
        <v>341</v>
      </c>
      <c r="B1381" s="1" t="str">
        <f>TEXT(Table1[[#This Row],[Date]], "YYYY-mm")</f>
        <v>2024-06</v>
      </c>
      <c r="C1381" s="2" t="s">
        <v>39</v>
      </c>
      <c r="D1381" s="2" t="s">
        <v>8</v>
      </c>
      <c r="E1381" s="2">
        <v>15</v>
      </c>
      <c r="F1381" s="2">
        <v>6.98</v>
      </c>
      <c r="G1381" s="8">
        <f>Table1[[#This Row],[Quantity]]*Table1[[#This Row],[Price]]</f>
        <v>104.7</v>
      </c>
    </row>
    <row r="1382" spans="1:7" ht="21" customHeight="1" x14ac:dyDescent="0.3">
      <c r="A1382" s="3" t="s">
        <v>156</v>
      </c>
      <c r="B1382" s="3" t="str">
        <f>TEXT(Table1[[#This Row],[Date]], "YYYY-mm")</f>
        <v>2024-08</v>
      </c>
      <c r="C1382" s="4" t="s">
        <v>34</v>
      </c>
      <c r="D1382" s="4" t="s">
        <v>19</v>
      </c>
      <c r="E1382" s="4">
        <v>13</v>
      </c>
      <c r="F1382" s="4">
        <v>487.89</v>
      </c>
      <c r="G1382" s="9">
        <f>Table1[[#This Row],[Quantity]]*Table1[[#This Row],[Price]]</f>
        <v>6342.57</v>
      </c>
    </row>
    <row r="1383" spans="1:7" ht="21" customHeight="1" x14ac:dyDescent="0.3">
      <c r="A1383" s="1" t="s">
        <v>238</v>
      </c>
      <c r="B1383" s="1" t="str">
        <f>TEXT(Table1[[#This Row],[Date]], "YYYY-mm")</f>
        <v>2024-07</v>
      </c>
      <c r="C1383" s="2" t="s">
        <v>39</v>
      </c>
      <c r="D1383" s="2" t="s">
        <v>8</v>
      </c>
      <c r="E1383" s="2">
        <v>12</v>
      </c>
      <c r="F1383" s="2">
        <v>6.74</v>
      </c>
      <c r="G1383" s="8">
        <f>Table1[[#This Row],[Quantity]]*Table1[[#This Row],[Price]]</f>
        <v>80.88</v>
      </c>
    </row>
    <row r="1384" spans="1:7" ht="21" customHeight="1" x14ac:dyDescent="0.3">
      <c r="A1384" s="3" t="s">
        <v>77</v>
      </c>
      <c r="B1384" s="3" t="str">
        <f>TEXT(Table1[[#This Row],[Date]], "YYYY-mm")</f>
        <v>2024-09</v>
      </c>
      <c r="C1384" s="4" t="s">
        <v>12</v>
      </c>
      <c r="D1384" s="4" t="s">
        <v>13</v>
      </c>
      <c r="E1384" s="4">
        <v>1</v>
      </c>
      <c r="F1384" s="4">
        <v>367.32</v>
      </c>
      <c r="G1384" s="9">
        <f>Table1[[#This Row],[Quantity]]*Table1[[#This Row],[Price]]</f>
        <v>367.32</v>
      </c>
    </row>
    <row r="1385" spans="1:7" ht="21" customHeight="1" x14ac:dyDescent="0.3">
      <c r="A1385" s="1" t="s">
        <v>217</v>
      </c>
      <c r="B1385" s="1" t="str">
        <f>TEXT(Table1[[#This Row],[Date]], "YYYY-mm")</f>
        <v>2024-12</v>
      </c>
      <c r="C1385" s="2" t="s">
        <v>15</v>
      </c>
      <c r="D1385" s="2" t="s">
        <v>8</v>
      </c>
      <c r="E1385" s="2">
        <v>7</v>
      </c>
      <c r="F1385" s="2">
        <v>7.07</v>
      </c>
      <c r="G1385" s="8">
        <f>Table1[[#This Row],[Quantity]]*Table1[[#This Row],[Price]]</f>
        <v>49.49</v>
      </c>
    </row>
    <row r="1386" spans="1:7" ht="21" customHeight="1" x14ac:dyDescent="0.3">
      <c r="A1386" s="3" t="s">
        <v>199</v>
      </c>
      <c r="B1386" s="3" t="str">
        <f>TEXT(Table1[[#This Row],[Date]], "YYYY-mm")</f>
        <v>2024-09</v>
      </c>
      <c r="C1386" s="4" t="s">
        <v>34</v>
      </c>
      <c r="D1386" s="4" t="s">
        <v>19</v>
      </c>
      <c r="E1386" s="4">
        <v>5</v>
      </c>
      <c r="F1386" s="4">
        <v>830.84</v>
      </c>
      <c r="G1386" s="9">
        <f>Table1[[#This Row],[Quantity]]*Table1[[#This Row],[Price]]</f>
        <v>4154.2</v>
      </c>
    </row>
    <row r="1387" spans="1:7" ht="21" customHeight="1" x14ac:dyDescent="0.3">
      <c r="A1387" s="1" t="s">
        <v>297</v>
      </c>
      <c r="B1387" s="1" t="str">
        <f>TEXT(Table1[[#This Row],[Date]], "YYYY-mm")</f>
        <v>2024-12</v>
      </c>
      <c r="C1387" s="2" t="s">
        <v>7</v>
      </c>
      <c r="D1387" s="2" t="s">
        <v>8</v>
      </c>
      <c r="E1387" s="2">
        <v>6</v>
      </c>
      <c r="F1387" s="2">
        <v>22.09</v>
      </c>
      <c r="G1387" s="8">
        <f>Table1[[#This Row],[Quantity]]*Table1[[#This Row],[Price]]</f>
        <v>132.54</v>
      </c>
    </row>
    <row r="1388" spans="1:7" ht="21" customHeight="1" x14ac:dyDescent="0.3">
      <c r="A1388" s="3" t="s">
        <v>279</v>
      </c>
      <c r="B1388" s="3" t="str">
        <f>TEXT(Table1[[#This Row],[Date]], "YYYY-mm")</f>
        <v>2024-02</v>
      </c>
      <c r="C1388" s="4" t="s">
        <v>25</v>
      </c>
      <c r="D1388" s="4" t="s">
        <v>19</v>
      </c>
      <c r="E1388" s="4">
        <v>4</v>
      </c>
      <c r="F1388" s="4">
        <v>771.84</v>
      </c>
      <c r="G1388" s="9">
        <f>Table1[[#This Row],[Quantity]]*Table1[[#This Row],[Price]]</f>
        <v>3087.36</v>
      </c>
    </row>
    <row r="1389" spans="1:7" ht="21" customHeight="1" x14ac:dyDescent="0.3">
      <c r="A1389" s="1" t="s">
        <v>378</v>
      </c>
      <c r="B1389" s="1" t="str">
        <f>TEXT(Table1[[#This Row],[Date]], "YYYY-mm")</f>
        <v>2024-09</v>
      </c>
      <c r="C1389" s="2" t="s">
        <v>27</v>
      </c>
      <c r="D1389" s="2" t="s">
        <v>8</v>
      </c>
      <c r="E1389" s="2">
        <v>9</v>
      </c>
      <c r="F1389" s="2">
        <v>145.27000000000001</v>
      </c>
      <c r="G1389" s="8">
        <f>Table1[[#This Row],[Quantity]]*Table1[[#This Row],[Price]]</f>
        <v>1307.43</v>
      </c>
    </row>
    <row r="1390" spans="1:7" ht="21" customHeight="1" x14ac:dyDescent="0.3">
      <c r="A1390" s="3" t="s">
        <v>227</v>
      </c>
      <c r="B1390" s="3" t="str">
        <f>TEXT(Table1[[#This Row],[Date]], "YYYY-mm")</f>
        <v>2024-03</v>
      </c>
      <c r="C1390" s="4" t="s">
        <v>10</v>
      </c>
      <c r="D1390" s="4" t="s">
        <v>8</v>
      </c>
      <c r="E1390" s="4">
        <v>15</v>
      </c>
      <c r="F1390" s="4">
        <v>87.94</v>
      </c>
      <c r="G1390" s="9">
        <f>Table1[[#This Row],[Quantity]]*Table1[[#This Row],[Price]]</f>
        <v>1319.1</v>
      </c>
    </row>
    <row r="1391" spans="1:7" ht="21" customHeight="1" x14ac:dyDescent="0.3">
      <c r="A1391" s="1" t="s">
        <v>229</v>
      </c>
      <c r="B1391" s="1" t="str">
        <f>TEXT(Table1[[#This Row],[Date]], "YYYY-mm")</f>
        <v>2024-05</v>
      </c>
      <c r="C1391" s="2" t="s">
        <v>10</v>
      </c>
      <c r="D1391" s="2" t="s">
        <v>8</v>
      </c>
      <c r="E1391" s="2">
        <v>2</v>
      </c>
      <c r="F1391" s="2">
        <v>90.68</v>
      </c>
      <c r="G1391" s="8">
        <f>Table1[[#This Row],[Quantity]]*Table1[[#This Row],[Price]]</f>
        <v>181.36</v>
      </c>
    </row>
    <row r="1392" spans="1:7" ht="21" customHeight="1" x14ac:dyDescent="0.3">
      <c r="A1392" s="3" t="s">
        <v>146</v>
      </c>
      <c r="B1392" s="3" t="str">
        <f>TEXT(Table1[[#This Row],[Date]], "YYYY-mm")</f>
        <v>2024-07</v>
      </c>
      <c r="C1392" s="4" t="s">
        <v>12</v>
      </c>
      <c r="D1392" s="4" t="s">
        <v>13</v>
      </c>
      <c r="E1392" s="4">
        <v>8</v>
      </c>
      <c r="F1392" s="4">
        <v>258.23</v>
      </c>
      <c r="G1392" s="9">
        <f>Table1[[#This Row],[Quantity]]*Table1[[#This Row],[Price]]</f>
        <v>2065.84</v>
      </c>
    </row>
    <row r="1393" spans="1:7" ht="21" customHeight="1" x14ac:dyDescent="0.3">
      <c r="A1393" s="1" t="s">
        <v>36</v>
      </c>
      <c r="B1393" s="1" t="str">
        <f>TEXT(Table1[[#This Row],[Date]], "YYYY-mm")</f>
        <v>2024-08</v>
      </c>
      <c r="C1393" s="2" t="s">
        <v>18</v>
      </c>
      <c r="D1393" s="2" t="s">
        <v>19</v>
      </c>
      <c r="E1393" s="2">
        <v>5</v>
      </c>
      <c r="F1393" s="2">
        <v>480.19</v>
      </c>
      <c r="G1393" s="8">
        <f>Table1[[#This Row],[Quantity]]*Table1[[#This Row],[Price]]</f>
        <v>2400.9499999999998</v>
      </c>
    </row>
    <row r="1394" spans="1:7" ht="21" customHeight="1" x14ac:dyDescent="0.3">
      <c r="A1394" s="3" t="s">
        <v>24</v>
      </c>
      <c r="B1394" s="3" t="str">
        <f>TEXT(Table1[[#This Row],[Date]], "YYYY-mm")</f>
        <v>2024-06</v>
      </c>
      <c r="C1394" s="4" t="s">
        <v>39</v>
      </c>
      <c r="D1394" s="4" t="s">
        <v>8</v>
      </c>
      <c r="E1394" s="4">
        <v>3</v>
      </c>
      <c r="F1394" s="4">
        <v>5.75</v>
      </c>
      <c r="G1394" s="9">
        <f>Table1[[#This Row],[Quantity]]*Table1[[#This Row],[Price]]</f>
        <v>17.25</v>
      </c>
    </row>
    <row r="1395" spans="1:7" ht="21" customHeight="1" x14ac:dyDescent="0.3">
      <c r="A1395" s="1" t="s">
        <v>175</v>
      </c>
      <c r="B1395" s="1" t="str">
        <f>TEXT(Table1[[#This Row],[Date]], "YYYY-mm")</f>
        <v>2024-07</v>
      </c>
      <c r="C1395" s="2" t="s">
        <v>15</v>
      </c>
      <c r="D1395" s="2" t="s">
        <v>8</v>
      </c>
      <c r="E1395" s="2">
        <v>6</v>
      </c>
      <c r="F1395" s="2">
        <v>7.32</v>
      </c>
      <c r="G1395" s="8">
        <f>Table1[[#This Row],[Quantity]]*Table1[[#This Row],[Price]]</f>
        <v>43.92</v>
      </c>
    </row>
    <row r="1396" spans="1:7" ht="21" customHeight="1" x14ac:dyDescent="0.3">
      <c r="A1396" s="3" t="s">
        <v>221</v>
      </c>
      <c r="B1396" s="3" t="str">
        <f>TEXT(Table1[[#This Row],[Date]], "YYYY-mm")</f>
        <v>2024-10</v>
      </c>
      <c r="C1396" s="4" t="s">
        <v>25</v>
      </c>
      <c r="D1396" s="4" t="s">
        <v>19</v>
      </c>
      <c r="E1396" s="4">
        <v>7</v>
      </c>
      <c r="F1396" s="4">
        <v>719.63</v>
      </c>
      <c r="G1396" s="9">
        <f>Table1[[#This Row],[Quantity]]*Table1[[#This Row],[Price]]</f>
        <v>5037.41</v>
      </c>
    </row>
    <row r="1397" spans="1:7" ht="21" customHeight="1" x14ac:dyDescent="0.3">
      <c r="A1397" s="1" t="s">
        <v>333</v>
      </c>
      <c r="B1397" s="1" t="str">
        <f>TEXT(Table1[[#This Row],[Date]], "YYYY-mm")</f>
        <v>2024-08</v>
      </c>
      <c r="C1397" s="2" t="s">
        <v>7</v>
      </c>
      <c r="D1397" s="2" t="s">
        <v>8</v>
      </c>
      <c r="E1397" s="2">
        <v>12</v>
      </c>
      <c r="F1397" s="2">
        <v>79.37</v>
      </c>
      <c r="G1397" s="8">
        <f>Table1[[#This Row],[Quantity]]*Table1[[#This Row],[Price]]</f>
        <v>952.44</v>
      </c>
    </row>
    <row r="1398" spans="1:7" ht="21" customHeight="1" x14ac:dyDescent="0.3">
      <c r="A1398" s="3" t="s">
        <v>228</v>
      </c>
      <c r="B1398" s="3" t="str">
        <f>TEXT(Table1[[#This Row],[Date]], "YYYY-mm")</f>
        <v>2024-01</v>
      </c>
      <c r="C1398" s="4" t="s">
        <v>22</v>
      </c>
      <c r="D1398" s="4" t="s">
        <v>13</v>
      </c>
      <c r="E1398" s="4">
        <v>8</v>
      </c>
      <c r="F1398" s="4">
        <v>1152.3499999999999</v>
      </c>
      <c r="G1398" s="9">
        <f>Table1[[#This Row],[Quantity]]*Table1[[#This Row],[Price]]</f>
        <v>9218.7999999999993</v>
      </c>
    </row>
    <row r="1399" spans="1:7" ht="21" customHeight="1" x14ac:dyDescent="0.3">
      <c r="A1399" s="1" t="s">
        <v>313</v>
      </c>
      <c r="B1399" s="1" t="str">
        <f>TEXT(Table1[[#This Row],[Date]], "YYYY-mm")</f>
        <v>2024-04</v>
      </c>
      <c r="C1399" s="2" t="s">
        <v>29</v>
      </c>
      <c r="D1399" s="2" t="s">
        <v>19</v>
      </c>
      <c r="E1399" s="2">
        <v>11</v>
      </c>
      <c r="F1399" s="2">
        <v>532.62</v>
      </c>
      <c r="G1399" s="8">
        <f>Table1[[#This Row],[Quantity]]*Table1[[#This Row],[Price]]</f>
        <v>5858.82</v>
      </c>
    </row>
    <row r="1400" spans="1:7" ht="21" customHeight="1" x14ac:dyDescent="0.3">
      <c r="A1400" s="3" t="s">
        <v>350</v>
      </c>
      <c r="B1400" s="3" t="str">
        <f>TEXT(Table1[[#This Row],[Date]], "YYYY-mm")</f>
        <v>2024-06</v>
      </c>
      <c r="C1400" s="4" t="s">
        <v>34</v>
      </c>
      <c r="D1400" s="4" t="s">
        <v>19</v>
      </c>
      <c r="E1400" s="4">
        <v>13</v>
      </c>
      <c r="F1400" s="4">
        <v>596.16999999999996</v>
      </c>
      <c r="G1400" s="9">
        <f>Table1[[#This Row],[Quantity]]*Table1[[#This Row],[Price]]</f>
        <v>7750.2099999999991</v>
      </c>
    </row>
    <row r="1401" spans="1:7" ht="21" customHeight="1" x14ac:dyDescent="0.3">
      <c r="A1401" s="1" t="s">
        <v>364</v>
      </c>
      <c r="B1401" s="1" t="str">
        <f>TEXT(Table1[[#This Row],[Date]], "YYYY-mm")</f>
        <v>2024-11</v>
      </c>
      <c r="C1401" s="2" t="s">
        <v>25</v>
      </c>
      <c r="D1401" s="2" t="s">
        <v>19</v>
      </c>
      <c r="E1401" s="2">
        <v>2</v>
      </c>
      <c r="F1401" s="2">
        <v>793.59</v>
      </c>
      <c r="G1401" s="8">
        <f>Table1[[#This Row],[Quantity]]*Table1[[#This Row],[Price]]</f>
        <v>1587.18</v>
      </c>
    </row>
    <row r="1402" spans="1:7" ht="21" customHeight="1" x14ac:dyDescent="0.3">
      <c r="A1402" s="3" t="s">
        <v>216</v>
      </c>
      <c r="B1402" s="3" t="str">
        <f>TEXT(Table1[[#This Row],[Date]], "YYYY-mm")</f>
        <v>2024-02</v>
      </c>
      <c r="C1402" s="4" t="s">
        <v>18</v>
      </c>
      <c r="D1402" s="4" t="s">
        <v>19</v>
      </c>
      <c r="E1402" s="4">
        <v>8</v>
      </c>
      <c r="F1402" s="4">
        <v>586.79999999999995</v>
      </c>
      <c r="G1402" s="9">
        <f>Table1[[#This Row],[Quantity]]*Table1[[#This Row],[Price]]</f>
        <v>4694.3999999999996</v>
      </c>
    </row>
    <row r="1403" spans="1:7" ht="21" customHeight="1" x14ac:dyDescent="0.3">
      <c r="A1403" s="1" t="s">
        <v>163</v>
      </c>
      <c r="B1403" s="1" t="str">
        <f>TEXT(Table1[[#This Row],[Date]], "YYYY-mm")</f>
        <v>2024-05</v>
      </c>
      <c r="C1403" s="2" t="s">
        <v>34</v>
      </c>
      <c r="D1403" s="2" t="s">
        <v>19</v>
      </c>
      <c r="E1403" s="2">
        <v>7</v>
      </c>
      <c r="F1403" s="2">
        <v>727.1</v>
      </c>
      <c r="G1403" s="8">
        <f>Table1[[#This Row],[Quantity]]*Table1[[#This Row],[Price]]</f>
        <v>5089.7</v>
      </c>
    </row>
    <row r="1404" spans="1:7" ht="21" customHeight="1" x14ac:dyDescent="0.3">
      <c r="A1404" s="3" t="s">
        <v>292</v>
      </c>
      <c r="B1404" s="3" t="str">
        <f>TEXT(Table1[[#This Row],[Date]], "YYYY-mm")</f>
        <v>2024-06</v>
      </c>
      <c r="C1404" s="4" t="s">
        <v>12</v>
      </c>
      <c r="D1404" s="4" t="s">
        <v>13</v>
      </c>
      <c r="E1404" s="4">
        <v>15</v>
      </c>
      <c r="F1404" s="4">
        <v>581.74</v>
      </c>
      <c r="G1404" s="9">
        <f>Table1[[#This Row],[Quantity]]*Table1[[#This Row],[Price]]</f>
        <v>8726.1</v>
      </c>
    </row>
    <row r="1405" spans="1:7" ht="21" customHeight="1" x14ac:dyDescent="0.3">
      <c r="A1405" s="1" t="s">
        <v>91</v>
      </c>
      <c r="B1405" s="1" t="str">
        <f>TEXT(Table1[[#This Row],[Date]], "YYYY-mm")</f>
        <v>2024-10</v>
      </c>
      <c r="C1405" s="2" t="s">
        <v>39</v>
      </c>
      <c r="D1405" s="2" t="s">
        <v>8</v>
      </c>
      <c r="E1405" s="2">
        <v>1</v>
      </c>
      <c r="F1405" s="2">
        <v>2.06</v>
      </c>
      <c r="G1405" s="8">
        <f>Table1[[#This Row],[Quantity]]*Table1[[#This Row],[Price]]</f>
        <v>2.06</v>
      </c>
    </row>
    <row r="1406" spans="1:7" ht="21" customHeight="1" x14ac:dyDescent="0.3">
      <c r="A1406" s="3" t="s">
        <v>340</v>
      </c>
      <c r="B1406" s="3" t="str">
        <f>TEXT(Table1[[#This Row],[Date]], "YYYY-mm")</f>
        <v>2024-01</v>
      </c>
      <c r="C1406" s="4" t="s">
        <v>34</v>
      </c>
      <c r="D1406" s="4" t="s">
        <v>19</v>
      </c>
      <c r="E1406" s="4">
        <v>11</v>
      </c>
      <c r="F1406" s="4">
        <v>1689.2</v>
      </c>
      <c r="G1406" s="9">
        <f>Table1[[#This Row],[Quantity]]*Table1[[#This Row],[Price]]</f>
        <v>18581.2</v>
      </c>
    </row>
    <row r="1407" spans="1:7" ht="21" customHeight="1" x14ac:dyDescent="0.3">
      <c r="A1407" s="1" t="s">
        <v>201</v>
      </c>
      <c r="B1407" s="1" t="str">
        <f>TEXT(Table1[[#This Row],[Date]], "YYYY-mm")</f>
        <v>2024-10</v>
      </c>
      <c r="C1407" s="2" t="s">
        <v>12</v>
      </c>
      <c r="D1407" s="2" t="s">
        <v>13</v>
      </c>
      <c r="E1407" s="2">
        <v>7</v>
      </c>
      <c r="F1407" s="2">
        <v>514.19000000000005</v>
      </c>
      <c r="G1407" s="8">
        <f>Table1[[#This Row],[Quantity]]*Table1[[#This Row],[Price]]</f>
        <v>3599.3300000000004</v>
      </c>
    </row>
    <row r="1408" spans="1:7" ht="21" customHeight="1" x14ac:dyDescent="0.3">
      <c r="A1408" s="3" t="s">
        <v>99</v>
      </c>
      <c r="B1408" s="3" t="str">
        <f>TEXT(Table1[[#This Row],[Date]], "YYYY-mm")</f>
        <v>2024-08</v>
      </c>
      <c r="C1408" s="4" t="s">
        <v>15</v>
      </c>
      <c r="D1408" s="4" t="s">
        <v>8</v>
      </c>
      <c r="E1408" s="4">
        <v>13</v>
      </c>
      <c r="F1408" s="4">
        <v>5.55</v>
      </c>
      <c r="G1408" s="9">
        <f>Table1[[#This Row],[Quantity]]*Table1[[#This Row],[Price]]</f>
        <v>72.149999999999991</v>
      </c>
    </row>
    <row r="1409" spans="1:7" ht="21" customHeight="1" x14ac:dyDescent="0.3">
      <c r="A1409" s="1" t="s">
        <v>189</v>
      </c>
      <c r="B1409" s="1" t="str">
        <f>TEXT(Table1[[#This Row],[Date]], "YYYY-mm")</f>
        <v>2024-09</v>
      </c>
      <c r="C1409" s="2" t="s">
        <v>34</v>
      </c>
      <c r="D1409" s="2" t="s">
        <v>19</v>
      </c>
      <c r="E1409" s="2">
        <v>9</v>
      </c>
      <c r="F1409" s="2">
        <v>1582.53</v>
      </c>
      <c r="G1409" s="8">
        <f>Table1[[#This Row],[Quantity]]*Table1[[#This Row],[Price]]</f>
        <v>14242.77</v>
      </c>
    </row>
    <row r="1410" spans="1:7" ht="21" customHeight="1" x14ac:dyDescent="0.3">
      <c r="A1410" s="3" t="s">
        <v>212</v>
      </c>
      <c r="B1410" s="3" t="str">
        <f>TEXT(Table1[[#This Row],[Date]], "YYYY-mm")</f>
        <v>2024-06</v>
      </c>
      <c r="C1410" s="4" t="s">
        <v>10</v>
      </c>
      <c r="D1410" s="4" t="s">
        <v>8</v>
      </c>
      <c r="E1410" s="4">
        <v>8</v>
      </c>
      <c r="F1410" s="4">
        <v>112.4</v>
      </c>
      <c r="G1410" s="9">
        <f>Table1[[#This Row],[Quantity]]*Table1[[#This Row],[Price]]</f>
        <v>899.2</v>
      </c>
    </row>
    <row r="1411" spans="1:7" ht="21" customHeight="1" x14ac:dyDescent="0.3">
      <c r="A1411" s="1" t="s">
        <v>364</v>
      </c>
      <c r="B1411" s="1" t="str">
        <f>TEXT(Table1[[#This Row],[Date]], "YYYY-mm")</f>
        <v>2024-11</v>
      </c>
      <c r="C1411" s="2" t="s">
        <v>34</v>
      </c>
      <c r="D1411" s="2" t="s">
        <v>19</v>
      </c>
      <c r="E1411" s="2">
        <v>15</v>
      </c>
      <c r="F1411" s="2">
        <v>695.37</v>
      </c>
      <c r="G1411" s="8">
        <f>Table1[[#This Row],[Quantity]]*Table1[[#This Row],[Price]]</f>
        <v>10430.549999999999</v>
      </c>
    </row>
    <row r="1412" spans="1:7" ht="21" customHeight="1" x14ac:dyDescent="0.3">
      <c r="A1412" s="3" t="s">
        <v>169</v>
      </c>
      <c r="B1412" s="3" t="str">
        <f>TEXT(Table1[[#This Row],[Date]], "YYYY-mm")</f>
        <v>2024-10</v>
      </c>
      <c r="C1412" s="4" t="s">
        <v>22</v>
      </c>
      <c r="D1412" s="4" t="s">
        <v>13</v>
      </c>
      <c r="E1412" s="4">
        <v>5</v>
      </c>
      <c r="F1412" s="4">
        <v>974.26</v>
      </c>
      <c r="G1412" s="9">
        <f>Table1[[#This Row],[Quantity]]*Table1[[#This Row],[Price]]</f>
        <v>4871.3</v>
      </c>
    </row>
    <row r="1413" spans="1:7" ht="21" customHeight="1" x14ac:dyDescent="0.3">
      <c r="A1413" s="1" t="s">
        <v>267</v>
      </c>
      <c r="B1413" s="1" t="str">
        <f>TEXT(Table1[[#This Row],[Date]], "YYYY-mm")</f>
        <v>2024-08</v>
      </c>
      <c r="C1413" s="2" t="s">
        <v>12</v>
      </c>
      <c r="D1413" s="2" t="s">
        <v>13</v>
      </c>
      <c r="E1413" s="2">
        <v>15</v>
      </c>
      <c r="F1413" s="2">
        <v>596.96</v>
      </c>
      <c r="G1413" s="8">
        <f>Table1[[#This Row],[Quantity]]*Table1[[#This Row],[Price]]</f>
        <v>8954.4000000000015</v>
      </c>
    </row>
    <row r="1414" spans="1:7" ht="21" customHeight="1" x14ac:dyDescent="0.3">
      <c r="A1414" s="3" t="s">
        <v>367</v>
      </c>
      <c r="B1414" s="3" t="str">
        <f>TEXT(Table1[[#This Row],[Date]], "YYYY-mm")</f>
        <v>2024-02</v>
      </c>
      <c r="C1414" s="4" t="s">
        <v>12</v>
      </c>
      <c r="D1414" s="4" t="s">
        <v>13</v>
      </c>
      <c r="E1414" s="4">
        <v>13</v>
      </c>
      <c r="F1414" s="4">
        <v>327.33999999999997</v>
      </c>
      <c r="G1414" s="9">
        <f>Table1[[#This Row],[Quantity]]*Table1[[#This Row],[Price]]</f>
        <v>4255.42</v>
      </c>
    </row>
    <row r="1415" spans="1:7" ht="21" customHeight="1" x14ac:dyDescent="0.3">
      <c r="A1415" s="1" t="s">
        <v>101</v>
      </c>
      <c r="B1415" s="1" t="str">
        <f>TEXT(Table1[[#This Row],[Date]], "YYYY-mm")</f>
        <v>2024-06</v>
      </c>
      <c r="C1415" s="2" t="s">
        <v>22</v>
      </c>
      <c r="D1415" s="2" t="s">
        <v>13</v>
      </c>
      <c r="E1415" s="2">
        <v>14</v>
      </c>
      <c r="F1415" s="2">
        <v>1489.1</v>
      </c>
      <c r="G1415" s="8">
        <f>Table1[[#This Row],[Quantity]]*Table1[[#This Row],[Price]]</f>
        <v>20847.399999999998</v>
      </c>
    </row>
    <row r="1416" spans="1:7" ht="21" customHeight="1" x14ac:dyDescent="0.3">
      <c r="A1416" s="3" t="s">
        <v>312</v>
      </c>
      <c r="B1416" s="3" t="str">
        <f>TEXT(Table1[[#This Row],[Date]], "YYYY-mm")</f>
        <v>2024-02</v>
      </c>
      <c r="C1416" s="4" t="s">
        <v>44</v>
      </c>
      <c r="D1416" s="4" t="s">
        <v>8</v>
      </c>
      <c r="E1416" s="4">
        <v>9</v>
      </c>
      <c r="F1416" s="4">
        <v>14.94</v>
      </c>
      <c r="G1416" s="9">
        <f>Table1[[#This Row],[Quantity]]*Table1[[#This Row],[Price]]</f>
        <v>134.46</v>
      </c>
    </row>
    <row r="1417" spans="1:7" ht="21" customHeight="1" x14ac:dyDescent="0.3">
      <c r="A1417" s="1" t="s">
        <v>229</v>
      </c>
      <c r="B1417" s="1" t="str">
        <f>TEXT(Table1[[#This Row],[Date]], "YYYY-mm")</f>
        <v>2024-05</v>
      </c>
      <c r="C1417" s="2" t="s">
        <v>12</v>
      </c>
      <c r="D1417" s="2" t="s">
        <v>13</v>
      </c>
      <c r="E1417" s="2">
        <v>9</v>
      </c>
      <c r="F1417" s="2">
        <v>380.66</v>
      </c>
      <c r="G1417" s="8">
        <f>Table1[[#This Row],[Quantity]]*Table1[[#This Row],[Price]]</f>
        <v>3425.94</v>
      </c>
    </row>
    <row r="1418" spans="1:7" ht="21" customHeight="1" x14ac:dyDescent="0.3">
      <c r="A1418" s="3" t="s">
        <v>379</v>
      </c>
      <c r="B1418" s="3" t="str">
        <f>TEXT(Table1[[#This Row],[Date]], "YYYY-mm")</f>
        <v>2024-06</v>
      </c>
      <c r="C1418" s="4" t="s">
        <v>22</v>
      </c>
      <c r="D1418" s="4" t="s">
        <v>13</v>
      </c>
      <c r="E1418" s="4">
        <v>13</v>
      </c>
      <c r="F1418" s="4">
        <v>911.85</v>
      </c>
      <c r="G1418" s="9">
        <f>Table1[[#This Row],[Quantity]]*Table1[[#This Row],[Price]]</f>
        <v>11854.050000000001</v>
      </c>
    </row>
    <row r="1419" spans="1:7" ht="21" customHeight="1" x14ac:dyDescent="0.3">
      <c r="A1419" s="1" t="s">
        <v>68</v>
      </c>
      <c r="B1419" s="1" t="str">
        <f>TEXT(Table1[[#This Row],[Date]], "YYYY-mm")</f>
        <v>2024-07</v>
      </c>
      <c r="C1419" s="2" t="s">
        <v>22</v>
      </c>
      <c r="D1419" s="2" t="s">
        <v>13</v>
      </c>
      <c r="E1419" s="2">
        <v>10</v>
      </c>
      <c r="F1419" s="2">
        <v>964.48</v>
      </c>
      <c r="G1419" s="8">
        <f>Table1[[#This Row],[Quantity]]*Table1[[#This Row],[Price]]</f>
        <v>9644.7999999999993</v>
      </c>
    </row>
    <row r="1420" spans="1:7" ht="21" customHeight="1" x14ac:dyDescent="0.3">
      <c r="A1420" s="3" t="s">
        <v>72</v>
      </c>
      <c r="B1420" s="3" t="str">
        <f>TEXT(Table1[[#This Row],[Date]], "YYYY-mm")</f>
        <v>2024-09</v>
      </c>
      <c r="C1420" s="4" t="s">
        <v>15</v>
      </c>
      <c r="D1420" s="4" t="s">
        <v>8</v>
      </c>
      <c r="E1420" s="4">
        <v>12</v>
      </c>
      <c r="F1420" s="4">
        <v>6.72</v>
      </c>
      <c r="G1420" s="9">
        <f>Table1[[#This Row],[Quantity]]*Table1[[#This Row],[Price]]</f>
        <v>80.64</v>
      </c>
    </row>
    <row r="1421" spans="1:7" ht="21" customHeight="1" x14ac:dyDescent="0.3">
      <c r="A1421" s="1" t="s">
        <v>344</v>
      </c>
      <c r="B1421" s="1" t="str">
        <f>TEXT(Table1[[#This Row],[Date]], "YYYY-mm")</f>
        <v>2024-04</v>
      </c>
      <c r="C1421" s="2" t="s">
        <v>27</v>
      </c>
      <c r="D1421" s="2" t="s">
        <v>8</v>
      </c>
      <c r="E1421" s="2">
        <v>13</v>
      </c>
      <c r="F1421" s="2">
        <v>126.64</v>
      </c>
      <c r="G1421" s="8">
        <f>Table1[[#This Row],[Quantity]]*Table1[[#This Row],[Price]]</f>
        <v>1646.32</v>
      </c>
    </row>
    <row r="1422" spans="1:7" ht="21" customHeight="1" x14ac:dyDescent="0.3">
      <c r="A1422" s="3" t="s">
        <v>309</v>
      </c>
      <c r="B1422" s="3" t="str">
        <f>TEXT(Table1[[#This Row],[Date]], "YYYY-mm")</f>
        <v>2024-01</v>
      </c>
      <c r="C1422" s="4" t="s">
        <v>18</v>
      </c>
      <c r="D1422" s="4" t="s">
        <v>19</v>
      </c>
      <c r="E1422" s="4">
        <v>1</v>
      </c>
      <c r="F1422" s="4">
        <v>432.26</v>
      </c>
      <c r="G1422" s="9">
        <f>Table1[[#This Row],[Quantity]]*Table1[[#This Row],[Price]]</f>
        <v>432.26</v>
      </c>
    </row>
    <row r="1423" spans="1:7" ht="21" customHeight="1" x14ac:dyDescent="0.3">
      <c r="A1423" s="1" t="s">
        <v>221</v>
      </c>
      <c r="B1423" s="1" t="str">
        <f>TEXT(Table1[[#This Row],[Date]], "YYYY-mm")</f>
        <v>2024-10</v>
      </c>
      <c r="C1423" s="2" t="s">
        <v>44</v>
      </c>
      <c r="D1423" s="2" t="s">
        <v>8</v>
      </c>
      <c r="E1423" s="2">
        <v>12</v>
      </c>
      <c r="F1423" s="2">
        <v>12.46</v>
      </c>
      <c r="G1423" s="8">
        <f>Table1[[#This Row],[Quantity]]*Table1[[#This Row],[Price]]</f>
        <v>149.52000000000001</v>
      </c>
    </row>
    <row r="1424" spans="1:7" ht="21" customHeight="1" x14ac:dyDescent="0.3">
      <c r="A1424" s="3" t="s">
        <v>227</v>
      </c>
      <c r="B1424" s="3" t="str">
        <f>TEXT(Table1[[#This Row],[Date]], "YYYY-mm")</f>
        <v>2024-03</v>
      </c>
      <c r="C1424" s="4" t="s">
        <v>22</v>
      </c>
      <c r="D1424" s="4" t="s">
        <v>13</v>
      </c>
      <c r="E1424" s="4">
        <v>7</v>
      </c>
      <c r="F1424" s="4">
        <v>1252.1099999999999</v>
      </c>
      <c r="G1424" s="9">
        <f>Table1[[#This Row],[Quantity]]*Table1[[#This Row],[Price]]</f>
        <v>8764.7699999999986</v>
      </c>
    </row>
    <row r="1425" spans="1:7" ht="21" customHeight="1" x14ac:dyDescent="0.3">
      <c r="A1425" s="1" t="s">
        <v>339</v>
      </c>
      <c r="B1425" s="1" t="str">
        <f>TEXT(Table1[[#This Row],[Date]], "YYYY-mm")</f>
        <v>2024-06</v>
      </c>
      <c r="C1425" s="2" t="s">
        <v>22</v>
      </c>
      <c r="D1425" s="2" t="s">
        <v>13</v>
      </c>
      <c r="E1425" s="2">
        <v>6</v>
      </c>
      <c r="F1425" s="2">
        <v>698.07</v>
      </c>
      <c r="G1425" s="8">
        <f>Table1[[#This Row],[Quantity]]*Table1[[#This Row],[Price]]</f>
        <v>4188.42</v>
      </c>
    </row>
    <row r="1426" spans="1:7" ht="21" customHeight="1" x14ac:dyDescent="0.3">
      <c r="A1426" s="3" t="s">
        <v>114</v>
      </c>
      <c r="B1426" s="3" t="str">
        <f>TEXT(Table1[[#This Row],[Date]], "YYYY-mm")</f>
        <v>2024-07</v>
      </c>
      <c r="C1426" s="4" t="s">
        <v>12</v>
      </c>
      <c r="D1426" s="4" t="s">
        <v>13</v>
      </c>
      <c r="E1426" s="4">
        <v>14</v>
      </c>
      <c r="F1426" s="4">
        <v>427.94</v>
      </c>
      <c r="G1426" s="9">
        <f>Table1[[#This Row],[Quantity]]*Table1[[#This Row],[Price]]</f>
        <v>5991.16</v>
      </c>
    </row>
    <row r="1427" spans="1:7" ht="21" customHeight="1" x14ac:dyDescent="0.3">
      <c r="A1427" s="1" t="s">
        <v>98</v>
      </c>
      <c r="B1427" s="1" t="str">
        <f>TEXT(Table1[[#This Row],[Date]], "YYYY-mm")</f>
        <v>2024-03</v>
      </c>
      <c r="C1427" s="2" t="s">
        <v>18</v>
      </c>
      <c r="D1427" s="2" t="s">
        <v>19</v>
      </c>
      <c r="E1427" s="2">
        <v>13</v>
      </c>
      <c r="F1427" s="2">
        <v>1309.1600000000001</v>
      </c>
      <c r="G1427" s="8">
        <f>Table1[[#This Row],[Quantity]]*Table1[[#This Row],[Price]]</f>
        <v>17019.080000000002</v>
      </c>
    </row>
    <row r="1428" spans="1:7" ht="21" customHeight="1" x14ac:dyDescent="0.3">
      <c r="A1428" s="3" t="s">
        <v>343</v>
      </c>
      <c r="B1428" s="3" t="str">
        <f>TEXT(Table1[[#This Row],[Date]], "YYYY-mm")</f>
        <v>2024-05</v>
      </c>
      <c r="C1428" s="4" t="s">
        <v>7</v>
      </c>
      <c r="D1428" s="4" t="s">
        <v>8</v>
      </c>
      <c r="E1428" s="4">
        <v>4</v>
      </c>
      <c r="F1428" s="4">
        <v>38.159999999999997</v>
      </c>
      <c r="G1428" s="9">
        <f>Table1[[#This Row],[Quantity]]*Table1[[#This Row],[Price]]</f>
        <v>152.63999999999999</v>
      </c>
    </row>
    <row r="1429" spans="1:7" ht="21" customHeight="1" x14ac:dyDescent="0.3">
      <c r="A1429" s="1" t="s">
        <v>172</v>
      </c>
      <c r="B1429" s="1" t="str">
        <f>TEXT(Table1[[#This Row],[Date]], "YYYY-mm")</f>
        <v>2024-09</v>
      </c>
      <c r="C1429" s="2" t="s">
        <v>34</v>
      </c>
      <c r="D1429" s="2" t="s">
        <v>19</v>
      </c>
      <c r="E1429" s="2">
        <v>7</v>
      </c>
      <c r="F1429" s="2">
        <v>1003.2</v>
      </c>
      <c r="G1429" s="8">
        <f>Table1[[#This Row],[Quantity]]*Table1[[#This Row],[Price]]</f>
        <v>7022.4000000000005</v>
      </c>
    </row>
    <row r="1430" spans="1:7" ht="21" customHeight="1" x14ac:dyDescent="0.3">
      <c r="A1430" s="3" t="s">
        <v>274</v>
      </c>
      <c r="B1430" s="3" t="str">
        <f>TEXT(Table1[[#This Row],[Date]], "YYYY-mm")</f>
        <v>2024-12</v>
      </c>
      <c r="C1430" s="4" t="s">
        <v>34</v>
      </c>
      <c r="D1430" s="4" t="s">
        <v>19</v>
      </c>
      <c r="E1430" s="4">
        <v>11</v>
      </c>
      <c r="F1430" s="4">
        <v>1189.3</v>
      </c>
      <c r="G1430" s="9">
        <f>Table1[[#This Row],[Quantity]]*Table1[[#This Row],[Price]]</f>
        <v>13082.3</v>
      </c>
    </row>
    <row r="1431" spans="1:7" ht="21" customHeight="1" x14ac:dyDescent="0.3">
      <c r="A1431" s="1" t="s">
        <v>74</v>
      </c>
      <c r="B1431" s="1" t="str">
        <f>TEXT(Table1[[#This Row],[Date]], "YYYY-mm")</f>
        <v>2024-03</v>
      </c>
      <c r="C1431" s="2" t="s">
        <v>12</v>
      </c>
      <c r="D1431" s="2" t="s">
        <v>13</v>
      </c>
      <c r="E1431" s="2">
        <v>10</v>
      </c>
      <c r="F1431" s="2">
        <v>540.98</v>
      </c>
      <c r="G1431" s="8">
        <f>Table1[[#This Row],[Quantity]]*Table1[[#This Row],[Price]]</f>
        <v>5409.8</v>
      </c>
    </row>
    <row r="1432" spans="1:7" ht="21" customHeight="1" x14ac:dyDescent="0.3">
      <c r="A1432" s="3" t="s">
        <v>147</v>
      </c>
      <c r="B1432" s="3" t="str">
        <f>TEXT(Table1[[#This Row],[Date]], "YYYY-mm")</f>
        <v>2024-08</v>
      </c>
      <c r="C1432" s="4" t="s">
        <v>18</v>
      </c>
      <c r="D1432" s="4" t="s">
        <v>19</v>
      </c>
      <c r="E1432" s="4">
        <v>4</v>
      </c>
      <c r="F1432" s="4">
        <v>1116.49</v>
      </c>
      <c r="G1432" s="9">
        <f>Table1[[#This Row],[Quantity]]*Table1[[#This Row],[Price]]</f>
        <v>4465.96</v>
      </c>
    </row>
    <row r="1433" spans="1:7" ht="21" customHeight="1" x14ac:dyDescent="0.3">
      <c r="A1433" s="1" t="s">
        <v>137</v>
      </c>
      <c r="B1433" s="1" t="str">
        <f>TEXT(Table1[[#This Row],[Date]], "YYYY-mm")</f>
        <v>2024-12</v>
      </c>
      <c r="C1433" s="2" t="s">
        <v>39</v>
      </c>
      <c r="D1433" s="2" t="s">
        <v>8</v>
      </c>
      <c r="E1433" s="2">
        <v>6</v>
      </c>
      <c r="F1433" s="2">
        <v>3.24</v>
      </c>
      <c r="G1433" s="8">
        <f>Table1[[#This Row],[Quantity]]*Table1[[#This Row],[Price]]</f>
        <v>19.440000000000001</v>
      </c>
    </row>
    <row r="1434" spans="1:7" ht="21" customHeight="1" x14ac:dyDescent="0.3">
      <c r="A1434" s="3" t="s">
        <v>84</v>
      </c>
      <c r="B1434" s="3" t="str">
        <f>TEXT(Table1[[#This Row],[Date]], "YYYY-mm")</f>
        <v>2024-12</v>
      </c>
      <c r="C1434" s="4" t="s">
        <v>44</v>
      </c>
      <c r="D1434" s="4" t="s">
        <v>8</v>
      </c>
      <c r="E1434" s="4">
        <v>10</v>
      </c>
      <c r="F1434" s="4">
        <v>18.079999999999998</v>
      </c>
      <c r="G1434" s="9">
        <f>Table1[[#This Row],[Quantity]]*Table1[[#This Row],[Price]]</f>
        <v>180.79999999999998</v>
      </c>
    </row>
    <row r="1435" spans="1:7" ht="21" customHeight="1" x14ac:dyDescent="0.3">
      <c r="A1435" s="1" t="s">
        <v>129</v>
      </c>
      <c r="B1435" s="1" t="str">
        <f>TEXT(Table1[[#This Row],[Date]], "YYYY-mm")</f>
        <v>2024-04</v>
      </c>
      <c r="C1435" s="2" t="s">
        <v>22</v>
      </c>
      <c r="D1435" s="2" t="s">
        <v>13</v>
      </c>
      <c r="E1435" s="2">
        <v>12</v>
      </c>
      <c r="F1435" s="2">
        <v>1115.1300000000001</v>
      </c>
      <c r="G1435" s="8">
        <f>Table1[[#This Row],[Quantity]]*Table1[[#This Row],[Price]]</f>
        <v>13381.560000000001</v>
      </c>
    </row>
    <row r="1436" spans="1:7" ht="21" customHeight="1" x14ac:dyDescent="0.3">
      <c r="A1436" s="3" t="s">
        <v>114</v>
      </c>
      <c r="B1436" s="3" t="str">
        <f>TEXT(Table1[[#This Row],[Date]], "YYYY-mm")</f>
        <v>2024-07</v>
      </c>
      <c r="C1436" s="4" t="s">
        <v>12</v>
      </c>
      <c r="D1436" s="4" t="s">
        <v>13</v>
      </c>
      <c r="E1436" s="4">
        <v>14</v>
      </c>
      <c r="F1436" s="4">
        <v>322.05</v>
      </c>
      <c r="G1436" s="9">
        <f>Table1[[#This Row],[Quantity]]*Table1[[#This Row],[Price]]</f>
        <v>4508.7</v>
      </c>
    </row>
    <row r="1437" spans="1:7" ht="21" customHeight="1" x14ac:dyDescent="0.3">
      <c r="A1437" s="1" t="s">
        <v>60</v>
      </c>
      <c r="B1437" s="1" t="str">
        <f>TEXT(Table1[[#This Row],[Date]], "YYYY-mm")</f>
        <v>2024-11</v>
      </c>
      <c r="C1437" s="2" t="s">
        <v>25</v>
      </c>
      <c r="D1437" s="2" t="s">
        <v>19</v>
      </c>
      <c r="E1437" s="2">
        <v>7</v>
      </c>
      <c r="F1437" s="2">
        <v>373.69</v>
      </c>
      <c r="G1437" s="8">
        <f>Table1[[#This Row],[Quantity]]*Table1[[#This Row],[Price]]</f>
        <v>2615.83</v>
      </c>
    </row>
    <row r="1438" spans="1:7" ht="21" customHeight="1" x14ac:dyDescent="0.3">
      <c r="A1438" s="3" t="s">
        <v>232</v>
      </c>
      <c r="B1438" s="3" t="str">
        <f>TEXT(Table1[[#This Row],[Date]], "YYYY-mm")</f>
        <v>2024-10</v>
      </c>
      <c r="C1438" s="4" t="s">
        <v>44</v>
      </c>
      <c r="D1438" s="4" t="s">
        <v>8</v>
      </c>
      <c r="E1438" s="4">
        <v>5</v>
      </c>
      <c r="F1438" s="4">
        <v>5.0999999999999996</v>
      </c>
      <c r="G1438" s="9">
        <f>Table1[[#This Row],[Quantity]]*Table1[[#This Row],[Price]]</f>
        <v>25.5</v>
      </c>
    </row>
    <row r="1439" spans="1:7" ht="21" customHeight="1" x14ac:dyDescent="0.3">
      <c r="A1439" s="1" t="s">
        <v>380</v>
      </c>
      <c r="B1439" s="1" t="str">
        <f>TEXT(Table1[[#This Row],[Date]], "YYYY-mm")</f>
        <v>2024-09</v>
      </c>
      <c r="C1439" s="2" t="s">
        <v>39</v>
      </c>
      <c r="D1439" s="2" t="s">
        <v>8</v>
      </c>
      <c r="E1439" s="2">
        <v>3</v>
      </c>
      <c r="F1439" s="2">
        <v>3.35</v>
      </c>
      <c r="G1439" s="8">
        <f>Table1[[#This Row],[Quantity]]*Table1[[#This Row],[Price]]</f>
        <v>10.050000000000001</v>
      </c>
    </row>
    <row r="1440" spans="1:7" ht="21" customHeight="1" x14ac:dyDescent="0.3">
      <c r="A1440" s="3" t="s">
        <v>190</v>
      </c>
      <c r="B1440" s="3" t="str">
        <f>TEXT(Table1[[#This Row],[Date]], "YYYY-mm")</f>
        <v>2024-01</v>
      </c>
      <c r="C1440" s="4" t="s">
        <v>34</v>
      </c>
      <c r="D1440" s="4" t="s">
        <v>19</v>
      </c>
      <c r="E1440" s="4">
        <v>4</v>
      </c>
      <c r="F1440" s="4">
        <v>1703.16</v>
      </c>
      <c r="G1440" s="9">
        <f>Table1[[#This Row],[Quantity]]*Table1[[#This Row],[Price]]</f>
        <v>6812.64</v>
      </c>
    </row>
    <row r="1441" spans="1:7" ht="21" customHeight="1" x14ac:dyDescent="0.3">
      <c r="A1441" s="1" t="s">
        <v>275</v>
      </c>
      <c r="B1441" s="1" t="str">
        <f>TEXT(Table1[[#This Row],[Date]], "YYYY-mm")</f>
        <v>2024-11</v>
      </c>
      <c r="C1441" s="2" t="s">
        <v>27</v>
      </c>
      <c r="D1441" s="2" t="s">
        <v>8</v>
      </c>
      <c r="E1441" s="2">
        <v>3</v>
      </c>
      <c r="F1441" s="2">
        <v>98.34</v>
      </c>
      <c r="G1441" s="8">
        <f>Table1[[#This Row],[Quantity]]*Table1[[#This Row],[Price]]</f>
        <v>295.02</v>
      </c>
    </row>
    <row r="1442" spans="1:7" ht="21" customHeight="1" x14ac:dyDescent="0.3">
      <c r="A1442" s="3" t="s">
        <v>139</v>
      </c>
      <c r="B1442" s="3" t="str">
        <f>TEXT(Table1[[#This Row],[Date]], "YYYY-mm")</f>
        <v>2024-01</v>
      </c>
      <c r="C1442" s="4" t="s">
        <v>10</v>
      </c>
      <c r="D1442" s="4" t="s">
        <v>8</v>
      </c>
      <c r="E1442" s="4">
        <v>1</v>
      </c>
      <c r="F1442" s="4">
        <v>112.67</v>
      </c>
      <c r="G1442" s="9">
        <f>Table1[[#This Row],[Quantity]]*Table1[[#This Row],[Price]]</f>
        <v>112.67</v>
      </c>
    </row>
    <row r="1443" spans="1:7" ht="21" customHeight="1" x14ac:dyDescent="0.3">
      <c r="A1443" s="1" t="s">
        <v>299</v>
      </c>
      <c r="B1443" s="1" t="str">
        <f>TEXT(Table1[[#This Row],[Date]], "YYYY-mm")</f>
        <v>2024-11</v>
      </c>
      <c r="C1443" s="2" t="s">
        <v>25</v>
      </c>
      <c r="D1443" s="2" t="s">
        <v>19</v>
      </c>
      <c r="E1443" s="2">
        <v>3</v>
      </c>
      <c r="F1443" s="2">
        <v>728.92</v>
      </c>
      <c r="G1443" s="8">
        <f>Table1[[#This Row],[Quantity]]*Table1[[#This Row],[Price]]</f>
        <v>2186.7599999999998</v>
      </c>
    </row>
    <row r="1444" spans="1:7" ht="21" customHeight="1" x14ac:dyDescent="0.3">
      <c r="A1444" s="3" t="s">
        <v>86</v>
      </c>
      <c r="B1444" s="3" t="str">
        <f>TEXT(Table1[[#This Row],[Date]], "YYYY-mm")</f>
        <v>2024-12</v>
      </c>
      <c r="C1444" s="4" t="s">
        <v>29</v>
      </c>
      <c r="D1444" s="4" t="s">
        <v>19</v>
      </c>
      <c r="E1444" s="4">
        <v>13</v>
      </c>
      <c r="F1444" s="4">
        <v>2285.09</v>
      </c>
      <c r="G1444" s="9">
        <f>Table1[[#This Row],[Quantity]]*Table1[[#This Row],[Price]]</f>
        <v>29706.170000000002</v>
      </c>
    </row>
    <row r="1445" spans="1:7" ht="21" customHeight="1" x14ac:dyDescent="0.3">
      <c r="A1445" s="1" t="s">
        <v>40</v>
      </c>
      <c r="B1445" s="1" t="str">
        <f>TEXT(Table1[[#This Row],[Date]], "YYYY-mm")</f>
        <v>2024-09</v>
      </c>
      <c r="C1445" s="2" t="s">
        <v>18</v>
      </c>
      <c r="D1445" s="2" t="s">
        <v>19</v>
      </c>
      <c r="E1445" s="2">
        <v>12</v>
      </c>
      <c r="F1445" s="2">
        <v>534.26</v>
      </c>
      <c r="G1445" s="8">
        <f>Table1[[#This Row],[Quantity]]*Table1[[#This Row],[Price]]</f>
        <v>6411.12</v>
      </c>
    </row>
    <row r="1446" spans="1:7" ht="21" customHeight="1" x14ac:dyDescent="0.3">
      <c r="A1446" s="3" t="s">
        <v>309</v>
      </c>
      <c r="B1446" s="3" t="str">
        <f>TEXT(Table1[[#This Row],[Date]], "YYYY-mm")</f>
        <v>2024-01</v>
      </c>
      <c r="C1446" s="4" t="s">
        <v>12</v>
      </c>
      <c r="D1446" s="4" t="s">
        <v>13</v>
      </c>
      <c r="E1446" s="4">
        <v>3</v>
      </c>
      <c r="F1446" s="4">
        <v>420.77</v>
      </c>
      <c r="G1446" s="9">
        <f>Table1[[#This Row],[Quantity]]*Table1[[#This Row],[Price]]</f>
        <v>1262.31</v>
      </c>
    </row>
    <row r="1447" spans="1:7" ht="21" customHeight="1" x14ac:dyDescent="0.3">
      <c r="A1447" s="1" t="s">
        <v>58</v>
      </c>
      <c r="B1447" s="1" t="str">
        <f>TEXT(Table1[[#This Row],[Date]], "YYYY-mm")</f>
        <v>2024-01</v>
      </c>
      <c r="C1447" s="2" t="s">
        <v>29</v>
      </c>
      <c r="D1447" s="2" t="s">
        <v>19</v>
      </c>
      <c r="E1447" s="2">
        <v>8</v>
      </c>
      <c r="F1447" s="2">
        <v>786.91</v>
      </c>
      <c r="G1447" s="8">
        <f>Table1[[#This Row],[Quantity]]*Table1[[#This Row],[Price]]</f>
        <v>6295.28</v>
      </c>
    </row>
    <row r="1448" spans="1:7" ht="21" customHeight="1" x14ac:dyDescent="0.3">
      <c r="A1448" s="3" t="s">
        <v>154</v>
      </c>
      <c r="B1448" s="3" t="str">
        <f>TEXT(Table1[[#This Row],[Date]], "YYYY-mm")</f>
        <v>2024-01</v>
      </c>
      <c r="C1448" s="4" t="s">
        <v>27</v>
      </c>
      <c r="D1448" s="4" t="s">
        <v>8</v>
      </c>
      <c r="E1448" s="4">
        <v>7</v>
      </c>
      <c r="F1448" s="4">
        <v>89.56</v>
      </c>
      <c r="G1448" s="9">
        <f>Table1[[#This Row],[Quantity]]*Table1[[#This Row],[Price]]</f>
        <v>626.92000000000007</v>
      </c>
    </row>
    <row r="1449" spans="1:7" ht="21" customHeight="1" x14ac:dyDescent="0.3">
      <c r="A1449" s="1" t="s">
        <v>157</v>
      </c>
      <c r="B1449" s="1" t="str">
        <f>TEXT(Table1[[#This Row],[Date]], "YYYY-mm")</f>
        <v>2024-01</v>
      </c>
      <c r="C1449" s="2" t="s">
        <v>10</v>
      </c>
      <c r="D1449" s="2" t="s">
        <v>8</v>
      </c>
      <c r="E1449" s="2">
        <v>10</v>
      </c>
      <c r="F1449" s="2">
        <v>119.52</v>
      </c>
      <c r="G1449" s="8">
        <f>Table1[[#This Row],[Quantity]]*Table1[[#This Row],[Price]]</f>
        <v>1195.2</v>
      </c>
    </row>
    <row r="1450" spans="1:7" ht="21" customHeight="1" x14ac:dyDescent="0.3">
      <c r="A1450" s="3" t="s">
        <v>246</v>
      </c>
      <c r="B1450" s="3" t="str">
        <f>TEXT(Table1[[#This Row],[Date]], "YYYY-mm")</f>
        <v>2024-10</v>
      </c>
      <c r="C1450" s="4" t="s">
        <v>25</v>
      </c>
      <c r="D1450" s="4" t="s">
        <v>19</v>
      </c>
      <c r="E1450" s="4">
        <v>10</v>
      </c>
      <c r="F1450" s="4">
        <v>360.9</v>
      </c>
      <c r="G1450" s="9">
        <f>Table1[[#This Row],[Quantity]]*Table1[[#This Row],[Price]]</f>
        <v>3609</v>
      </c>
    </row>
    <row r="1451" spans="1:7" ht="21" customHeight="1" x14ac:dyDescent="0.3">
      <c r="A1451" s="1" t="s">
        <v>71</v>
      </c>
      <c r="B1451" s="1" t="str">
        <f>TEXT(Table1[[#This Row],[Date]], "YYYY-mm")</f>
        <v>2024-02</v>
      </c>
      <c r="C1451" s="2" t="s">
        <v>18</v>
      </c>
      <c r="D1451" s="2" t="s">
        <v>19</v>
      </c>
      <c r="E1451" s="2">
        <v>12</v>
      </c>
      <c r="F1451" s="2">
        <v>464.11</v>
      </c>
      <c r="G1451" s="8">
        <f>Table1[[#This Row],[Quantity]]*Table1[[#This Row],[Price]]</f>
        <v>5569.32</v>
      </c>
    </row>
    <row r="1452" spans="1:7" ht="21" customHeight="1" x14ac:dyDescent="0.3">
      <c r="A1452" s="3" t="s">
        <v>114</v>
      </c>
      <c r="B1452" s="3" t="str">
        <f>TEXT(Table1[[#This Row],[Date]], "YYYY-mm")</f>
        <v>2024-07</v>
      </c>
      <c r="C1452" s="4" t="s">
        <v>22</v>
      </c>
      <c r="D1452" s="4" t="s">
        <v>13</v>
      </c>
      <c r="E1452" s="4">
        <v>8</v>
      </c>
      <c r="F1452" s="4">
        <v>944.55</v>
      </c>
      <c r="G1452" s="9">
        <f>Table1[[#This Row],[Quantity]]*Table1[[#This Row],[Price]]</f>
        <v>7556.4</v>
      </c>
    </row>
    <row r="1453" spans="1:7" ht="21" customHeight="1" x14ac:dyDescent="0.3">
      <c r="A1453" s="1" t="s">
        <v>219</v>
      </c>
      <c r="B1453" s="1" t="str">
        <f>TEXT(Table1[[#This Row],[Date]], "YYYY-mm")</f>
        <v>2024-04</v>
      </c>
      <c r="C1453" s="2" t="s">
        <v>27</v>
      </c>
      <c r="D1453" s="2" t="s">
        <v>8</v>
      </c>
      <c r="E1453" s="2">
        <v>8</v>
      </c>
      <c r="F1453" s="2">
        <v>193.81</v>
      </c>
      <c r="G1453" s="8">
        <f>Table1[[#This Row],[Quantity]]*Table1[[#This Row],[Price]]</f>
        <v>1550.48</v>
      </c>
    </row>
    <row r="1454" spans="1:7" ht="21" customHeight="1" x14ac:dyDescent="0.3">
      <c r="A1454" s="3" t="s">
        <v>193</v>
      </c>
      <c r="B1454" s="3" t="str">
        <f>TEXT(Table1[[#This Row],[Date]], "YYYY-mm")</f>
        <v>2024-09</v>
      </c>
      <c r="C1454" s="4" t="s">
        <v>25</v>
      </c>
      <c r="D1454" s="4" t="s">
        <v>19</v>
      </c>
      <c r="E1454" s="4">
        <v>15</v>
      </c>
      <c r="F1454" s="4">
        <v>1120.07</v>
      </c>
      <c r="G1454" s="9">
        <f>Table1[[#This Row],[Quantity]]*Table1[[#This Row],[Price]]</f>
        <v>16801.05</v>
      </c>
    </row>
    <row r="1455" spans="1:7" ht="21" customHeight="1" x14ac:dyDescent="0.3">
      <c r="A1455" s="1" t="s">
        <v>316</v>
      </c>
      <c r="B1455" s="1" t="str">
        <f>TEXT(Table1[[#This Row],[Date]], "YYYY-mm")</f>
        <v>2024-11</v>
      </c>
      <c r="C1455" s="2" t="s">
        <v>12</v>
      </c>
      <c r="D1455" s="2" t="s">
        <v>13</v>
      </c>
      <c r="E1455" s="2">
        <v>14</v>
      </c>
      <c r="F1455" s="2">
        <v>506.65</v>
      </c>
      <c r="G1455" s="8">
        <f>Table1[[#This Row],[Quantity]]*Table1[[#This Row],[Price]]</f>
        <v>7093.0999999999995</v>
      </c>
    </row>
    <row r="1456" spans="1:7" ht="21" customHeight="1" x14ac:dyDescent="0.3">
      <c r="A1456" s="3" t="s">
        <v>41</v>
      </c>
      <c r="B1456" s="3" t="str">
        <f>TEXT(Table1[[#This Row],[Date]], "YYYY-mm")</f>
        <v>2024-02</v>
      </c>
      <c r="C1456" s="4" t="s">
        <v>12</v>
      </c>
      <c r="D1456" s="4" t="s">
        <v>13</v>
      </c>
      <c r="E1456" s="4">
        <v>12</v>
      </c>
      <c r="F1456" s="4">
        <v>220.13</v>
      </c>
      <c r="G1456" s="9">
        <f>Table1[[#This Row],[Quantity]]*Table1[[#This Row],[Price]]</f>
        <v>2641.56</v>
      </c>
    </row>
    <row r="1457" spans="1:7" ht="21" customHeight="1" x14ac:dyDescent="0.3">
      <c r="A1457" s="1" t="s">
        <v>36</v>
      </c>
      <c r="B1457" s="1" t="str">
        <f>TEXT(Table1[[#This Row],[Date]], "YYYY-mm")</f>
        <v>2024-08</v>
      </c>
      <c r="C1457" s="2" t="s">
        <v>25</v>
      </c>
      <c r="D1457" s="2" t="s">
        <v>19</v>
      </c>
      <c r="E1457" s="2">
        <v>6</v>
      </c>
      <c r="F1457" s="2">
        <v>347.63</v>
      </c>
      <c r="G1457" s="8">
        <f>Table1[[#This Row],[Quantity]]*Table1[[#This Row],[Price]]</f>
        <v>2085.7799999999997</v>
      </c>
    </row>
    <row r="1458" spans="1:7" ht="21" customHeight="1" x14ac:dyDescent="0.3">
      <c r="A1458" s="3" t="s">
        <v>364</v>
      </c>
      <c r="B1458" s="3" t="str">
        <f>TEXT(Table1[[#This Row],[Date]], "YYYY-mm")</f>
        <v>2024-11</v>
      </c>
      <c r="C1458" s="4" t="s">
        <v>18</v>
      </c>
      <c r="D1458" s="4" t="s">
        <v>19</v>
      </c>
      <c r="E1458" s="4">
        <v>4</v>
      </c>
      <c r="F1458" s="4">
        <v>1238.8</v>
      </c>
      <c r="G1458" s="9">
        <f>Table1[[#This Row],[Quantity]]*Table1[[#This Row],[Price]]</f>
        <v>4955.2</v>
      </c>
    </row>
    <row r="1459" spans="1:7" ht="21" customHeight="1" x14ac:dyDescent="0.3">
      <c r="A1459" s="1" t="s">
        <v>257</v>
      </c>
      <c r="B1459" s="1" t="str">
        <f>TEXT(Table1[[#This Row],[Date]], "YYYY-mm")</f>
        <v>2024-11</v>
      </c>
      <c r="C1459" s="2" t="s">
        <v>39</v>
      </c>
      <c r="D1459" s="2" t="s">
        <v>8</v>
      </c>
      <c r="E1459" s="2">
        <v>3</v>
      </c>
      <c r="F1459" s="2">
        <v>6.02</v>
      </c>
      <c r="G1459" s="8">
        <f>Table1[[#This Row],[Quantity]]*Table1[[#This Row],[Price]]</f>
        <v>18.059999999999999</v>
      </c>
    </row>
    <row r="1460" spans="1:7" ht="21" customHeight="1" x14ac:dyDescent="0.3">
      <c r="A1460" s="3" t="s">
        <v>302</v>
      </c>
      <c r="B1460" s="3" t="str">
        <f>TEXT(Table1[[#This Row],[Date]], "YYYY-mm")</f>
        <v>2024-04</v>
      </c>
      <c r="C1460" s="4" t="s">
        <v>22</v>
      </c>
      <c r="D1460" s="4" t="s">
        <v>13</v>
      </c>
      <c r="E1460" s="4">
        <v>1</v>
      </c>
      <c r="F1460" s="4">
        <v>1310.6400000000001</v>
      </c>
      <c r="G1460" s="9">
        <f>Table1[[#This Row],[Quantity]]*Table1[[#This Row],[Price]]</f>
        <v>1310.6400000000001</v>
      </c>
    </row>
    <row r="1461" spans="1:7" ht="21" customHeight="1" x14ac:dyDescent="0.3">
      <c r="A1461" s="1" t="s">
        <v>358</v>
      </c>
      <c r="B1461" s="1" t="str">
        <f>TEXT(Table1[[#This Row],[Date]], "YYYY-mm")</f>
        <v>2024-09</v>
      </c>
      <c r="C1461" s="2" t="s">
        <v>22</v>
      </c>
      <c r="D1461" s="2" t="s">
        <v>13</v>
      </c>
      <c r="E1461" s="2">
        <v>6</v>
      </c>
      <c r="F1461" s="2">
        <v>1055.9000000000001</v>
      </c>
      <c r="G1461" s="8">
        <f>Table1[[#This Row],[Quantity]]*Table1[[#This Row],[Price]]</f>
        <v>6335.4000000000005</v>
      </c>
    </row>
    <row r="1462" spans="1:7" ht="21" customHeight="1" x14ac:dyDescent="0.3">
      <c r="A1462" s="3" t="s">
        <v>381</v>
      </c>
      <c r="B1462" s="3" t="str">
        <f>TEXT(Table1[[#This Row],[Date]], "YYYY-mm")</f>
        <v>2024-02</v>
      </c>
      <c r="C1462" s="4" t="s">
        <v>44</v>
      </c>
      <c r="D1462" s="4" t="s">
        <v>8</v>
      </c>
      <c r="E1462" s="4">
        <v>4</v>
      </c>
      <c r="F1462" s="4">
        <v>14.98</v>
      </c>
      <c r="G1462" s="9">
        <f>Table1[[#This Row],[Quantity]]*Table1[[#This Row],[Price]]</f>
        <v>59.92</v>
      </c>
    </row>
    <row r="1463" spans="1:7" ht="21" customHeight="1" x14ac:dyDescent="0.3">
      <c r="A1463" s="1" t="s">
        <v>342</v>
      </c>
      <c r="B1463" s="1" t="str">
        <f>TEXT(Table1[[#This Row],[Date]], "YYYY-mm")</f>
        <v>2024-01</v>
      </c>
      <c r="C1463" s="2" t="s">
        <v>18</v>
      </c>
      <c r="D1463" s="2" t="s">
        <v>19</v>
      </c>
      <c r="E1463" s="2">
        <v>10</v>
      </c>
      <c r="F1463" s="2">
        <v>305.58</v>
      </c>
      <c r="G1463" s="8">
        <f>Table1[[#This Row],[Quantity]]*Table1[[#This Row],[Price]]</f>
        <v>3055.7999999999997</v>
      </c>
    </row>
    <row r="1464" spans="1:7" ht="21" customHeight="1" x14ac:dyDescent="0.3">
      <c r="A1464" s="3" t="s">
        <v>176</v>
      </c>
      <c r="B1464" s="3" t="str">
        <f>TEXT(Table1[[#This Row],[Date]], "YYYY-mm")</f>
        <v>2024-03</v>
      </c>
      <c r="C1464" s="4" t="s">
        <v>39</v>
      </c>
      <c r="D1464" s="4" t="s">
        <v>8</v>
      </c>
      <c r="E1464" s="4">
        <v>15</v>
      </c>
      <c r="F1464" s="4">
        <v>5.92</v>
      </c>
      <c r="G1464" s="9">
        <f>Table1[[#This Row],[Quantity]]*Table1[[#This Row],[Price]]</f>
        <v>88.8</v>
      </c>
    </row>
    <row r="1465" spans="1:7" ht="21" customHeight="1" x14ac:dyDescent="0.3">
      <c r="A1465" s="1" t="s">
        <v>179</v>
      </c>
      <c r="B1465" s="1" t="str">
        <f>TEXT(Table1[[#This Row],[Date]], "YYYY-mm")</f>
        <v>2024-03</v>
      </c>
      <c r="C1465" s="2" t="s">
        <v>10</v>
      </c>
      <c r="D1465" s="2" t="s">
        <v>8</v>
      </c>
      <c r="E1465" s="2">
        <v>5</v>
      </c>
      <c r="F1465" s="2">
        <v>60.99</v>
      </c>
      <c r="G1465" s="8">
        <f>Table1[[#This Row],[Quantity]]*Table1[[#This Row],[Price]]</f>
        <v>304.95</v>
      </c>
    </row>
    <row r="1466" spans="1:7" ht="21" customHeight="1" x14ac:dyDescent="0.3">
      <c r="A1466" s="3" t="s">
        <v>282</v>
      </c>
      <c r="B1466" s="3" t="str">
        <f>TEXT(Table1[[#This Row],[Date]], "YYYY-mm")</f>
        <v>2024-12</v>
      </c>
      <c r="C1466" s="4" t="s">
        <v>10</v>
      </c>
      <c r="D1466" s="4" t="s">
        <v>8</v>
      </c>
      <c r="E1466" s="4">
        <v>13</v>
      </c>
      <c r="F1466" s="4">
        <v>74.010000000000005</v>
      </c>
      <c r="G1466" s="9">
        <f>Table1[[#This Row],[Quantity]]*Table1[[#This Row],[Price]]</f>
        <v>962.13000000000011</v>
      </c>
    </row>
    <row r="1467" spans="1:7" ht="21" customHeight="1" x14ac:dyDescent="0.3">
      <c r="A1467" s="1" t="s">
        <v>263</v>
      </c>
      <c r="B1467" s="1" t="str">
        <f>TEXT(Table1[[#This Row],[Date]], "YYYY-mm")</f>
        <v>2024-10</v>
      </c>
      <c r="C1467" s="2" t="s">
        <v>29</v>
      </c>
      <c r="D1467" s="2" t="s">
        <v>19</v>
      </c>
      <c r="E1467" s="2">
        <v>13</v>
      </c>
      <c r="F1467" s="2">
        <v>1890.46</v>
      </c>
      <c r="G1467" s="8">
        <f>Table1[[#This Row],[Quantity]]*Table1[[#This Row],[Price]]</f>
        <v>24575.98</v>
      </c>
    </row>
    <row r="1468" spans="1:7" ht="21" customHeight="1" x14ac:dyDescent="0.3">
      <c r="A1468" s="3" t="s">
        <v>377</v>
      </c>
      <c r="B1468" s="3" t="str">
        <f>TEXT(Table1[[#This Row],[Date]], "YYYY-mm")</f>
        <v>2024-09</v>
      </c>
      <c r="C1468" s="4" t="s">
        <v>34</v>
      </c>
      <c r="D1468" s="4" t="s">
        <v>19</v>
      </c>
      <c r="E1468" s="4">
        <v>15</v>
      </c>
      <c r="F1468" s="4">
        <v>1268.06</v>
      </c>
      <c r="G1468" s="9">
        <f>Table1[[#This Row],[Quantity]]*Table1[[#This Row],[Price]]</f>
        <v>19020.899999999998</v>
      </c>
    </row>
    <row r="1469" spans="1:7" ht="21" customHeight="1" x14ac:dyDescent="0.3">
      <c r="A1469" s="1" t="s">
        <v>229</v>
      </c>
      <c r="B1469" s="1" t="str">
        <f>TEXT(Table1[[#This Row],[Date]], "YYYY-mm")</f>
        <v>2024-05</v>
      </c>
      <c r="C1469" s="2" t="s">
        <v>10</v>
      </c>
      <c r="D1469" s="2" t="s">
        <v>8</v>
      </c>
      <c r="E1469" s="2">
        <v>13</v>
      </c>
      <c r="F1469" s="2">
        <v>86.71</v>
      </c>
      <c r="G1469" s="8">
        <f>Table1[[#This Row],[Quantity]]*Table1[[#This Row],[Price]]</f>
        <v>1127.23</v>
      </c>
    </row>
    <row r="1470" spans="1:7" ht="21" customHeight="1" x14ac:dyDescent="0.3">
      <c r="A1470" s="3" t="s">
        <v>67</v>
      </c>
      <c r="B1470" s="3" t="str">
        <f>TEXT(Table1[[#This Row],[Date]], "YYYY-mm")</f>
        <v>2024-05</v>
      </c>
      <c r="C1470" s="4" t="s">
        <v>25</v>
      </c>
      <c r="D1470" s="4" t="s">
        <v>19</v>
      </c>
      <c r="E1470" s="4">
        <v>7</v>
      </c>
      <c r="F1470" s="4">
        <v>1149.23</v>
      </c>
      <c r="G1470" s="9">
        <f>Table1[[#This Row],[Quantity]]*Table1[[#This Row],[Price]]</f>
        <v>8044.6100000000006</v>
      </c>
    </row>
    <row r="1471" spans="1:7" ht="21" customHeight="1" x14ac:dyDescent="0.3">
      <c r="A1471" s="1" t="s">
        <v>99</v>
      </c>
      <c r="B1471" s="1" t="str">
        <f>TEXT(Table1[[#This Row],[Date]], "YYYY-mm")</f>
        <v>2024-08</v>
      </c>
      <c r="C1471" s="2" t="s">
        <v>22</v>
      </c>
      <c r="D1471" s="2" t="s">
        <v>13</v>
      </c>
      <c r="E1471" s="2">
        <v>14</v>
      </c>
      <c r="F1471" s="2">
        <v>1123.06</v>
      </c>
      <c r="G1471" s="8">
        <f>Table1[[#This Row],[Quantity]]*Table1[[#This Row],[Price]]</f>
        <v>15722.84</v>
      </c>
    </row>
    <row r="1472" spans="1:7" ht="21" customHeight="1" x14ac:dyDescent="0.3">
      <c r="A1472" s="3" t="s">
        <v>286</v>
      </c>
      <c r="B1472" s="3" t="str">
        <f>TEXT(Table1[[#This Row],[Date]], "YYYY-mm")</f>
        <v>2024-03</v>
      </c>
      <c r="C1472" s="4" t="s">
        <v>22</v>
      </c>
      <c r="D1472" s="4" t="s">
        <v>13</v>
      </c>
      <c r="E1472" s="4">
        <v>8</v>
      </c>
      <c r="F1472" s="4">
        <v>1497.37</v>
      </c>
      <c r="G1472" s="9">
        <f>Table1[[#This Row],[Quantity]]*Table1[[#This Row],[Price]]</f>
        <v>11978.96</v>
      </c>
    </row>
    <row r="1473" spans="1:7" ht="21" customHeight="1" x14ac:dyDescent="0.3">
      <c r="A1473" s="1" t="s">
        <v>280</v>
      </c>
      <c r="B1473" s="1" t="str">
        <f>TEXT(Table1[[#This Row],[Date]], "YYYY-mm")</f>
        <v>2024-10</v>
      </c>
      <c r="C1473" s="2" t="s">
        <v>15</v>
      </c>
      <c r="D1473" s="2" t="s">
        <v>8</v>
      </c>
      <c r="E1473" s="2">
        <v>11</v>
      </c>
      <c r="F1473" s="2">
        <v>4.6399999999999997</v>
      </c>
      <c r="G1473" s="8">
        <f>Table1[[#This Row],[Quantity]]*Table1[[#This Row],[Price]]</f>
        <v>51.04</v>
      </c>
    </row>
    <row r="1474" spans="1:7" ht="21" customHeight="1" x14ac:dyDescent="0.3">
      <c r="A1474" s="3" t="s">
        <v>72</v>
      </c>
      <c r="B1474" s="3" t="str">
        <f>TEXT(Table1[[#This Row],[Date]], "YYYY-mm")</f>
        <v>2024-09</v>
      </c>
      <c r="C1474" s="4" t="s">
        <v>29</v>
      </c>
      <c r="D1474" s="4" t="s">
        <v>19</v>
      </c>
      <c r="E1474" s="4">
        <v>13</v>
      </c>
      <c r="F1474" s="4">
        <v>1813.46</v>
      </c>
      <c r="G1474" s="9">
        <f>Table1[[#This Row],[Quantity]]*Table1[[#This Row],[Price]]</f>
        <v>23574.98</v>
      </c>
    </row>
    <row r="1475" spans="1:7" ht="21" customHeight="1" x14ac:dyDescent="0.3">
      <c r="A1475" s="1" t="s">
        <v>364</v>
      </c>
      <c r="B1475" s="1" t="str">
        <f>TEXT(Table1[[#This Row],[Date]], "YYYY-mm")</f>
        <v>2024-11</v>
      </c>
      <c r="C1475" s="2" t="s">
        <v>18</v>
      </c>
      <c r="D1475" s="2" t="s">
        <v>19</v>
      </c>
      <c r="E1475" s="2">
        <v>8</v>
      </c>
      <c r="F1475" s="2">
        <v>1461.65</v>
      </c>
      <c r="G1475" s="8">
        <f>Table1[[#This Row],[Quantity]]*Table1[[#This Row],[Price]]</f>
        <v>11693.2</v>
      </c>
    </row>
    <row r="1476" spans="1:7" ht="21" customHeight="1" x14ac:dyDescent="0.3">
      <c r="A1476" s="3" t="s">
        <v>23</v>
      </c>
      <c r="B1476" s="3" t="str">
        <f>TEXT(Table1[[#This Row],[Date]], "YYYY-mm")</f>
        <v>2024-05</v>
      </c>
      <c r="C1476" s="4" t="s">
        <v>39</v>
      </c>
      <c r="D1476" s="4" t="s">
        <v>8</v>
      </c>
      <c r="E1476" s="4">
        <v>12</v>
      </c>
      <c r="F1476" s="4">
        <v>7.05</v>
      </c>
      <c r="G1476" s="9">
        <f>Table1[[#This Row],[Quantity]]*Table1[[#This Row],[Price]]</f>
        <v>84.6</v>
      </c>
    </row>
    <row r="1477" spans="1:7" ht="21" customHeight="1" x14ac:dyDescent="0.3">
      <c r="A1477" s="1" t="s">
        <v>69</v>
      </c>
      <c r="B1477" s="1" t="str">
        <f>TEXT(Table1[[#This Row],[Date]], "YYYY-mm")</f>
        <v>2024-03</v>
      </c>
      <c r="C1477" s="2" t="s">
        <v>22</v>
      </c>
      <c r="D1477" s="2" t="s">
        <v>13</v>
      </c>
      <c r="E1477" s="2">
        <v>5</v>
      </c>
      <c r="F1477" s="2">
        <v>962.82</v>
      </c>
      <c r="G1477" s="8">
        <f>Table1[[#This Row],[Quantity]]*Table1[[#This Row],[Price]]</f>
        <v>4814.1000000000004</v>
      </c>
    </row>
    <row r="1478" spans="1:7" ht="21" customHeight="1" x14ac:dyDescent="0.3">
      <c r="A1478" s="3" t="s">
        <v>146</v>
      </c>
      <c r="B1478" s="3" t="str">
        <f>TEXT(Table1[[#This Row],[Date]], "YYYY-mm")</f>
        <v>2024-07</v>
      </c>
      <c r="C1478" s="4" t="s">
        <v>34</v>
      </c>
      <c r="D1478" s="4" t="s">
        <v>19</v>
      </c>
      <c r="E1478" s="4">
        <v>3</v>
      </c>
      <c r="F1478" s="4">
        <v>861.59</v>
      </c>
      <c r="G1478" s="9">
        <f>Table1[[#This Row],[Quantity]]*Table1[[#This Row],[Price]]</f>
        <v>2584.77</v>
      </c>
    </row>
    <row r="1479" spans="1:7" ht="21" customHeight="1" x14ac:dyDescent="0.3">
      <c r="A1479" s="1" t="s">
        <v>382</v>
      </c>
      <c r="B1479" s="1" t="str">
        <f>TEXT(Table1[[#This Row],[Date]], "YYYY-mm")</f>
        <v>2024-11</v>
      </c>
      <c r="C1479" s="2" t="s">
        <v>25</v>
      </c>
      <c r="D1479" s="2" t="s">
        <v>19</v>
      </c>
      <c r="E1479" s="2">
        <v>9</v>
      </c>
      <c r="F1479" s="2">
        <v>430.14</v>
      </c>
      <c r="G1479" s="8">
        <f>Table1[[#This Row],[Quantity]]*Table1[[#This Row],[Price]]</f>
        <v>3871.2599999999998</v>
      </c>
    </row>
    <row r="1480" spans="1:7" ht="21" customHeight="1" x14ac:dyDescent="0.3">
      <c r="A1480" s="3" t="s">
        <v>72</v>
      </c>
      <c r="B1480" s="3" t="str">
        <f>TEXT(Table1[[#This Row],[Date]], "YYYY-mm")</f>
        <v>2024-09</v>
      </c>
      <c r="C1480" s="4" t="s">
        <v>12</v>
      </c>
      <c r="D1480" s="4" t="s">
        <v>13</v>
      </c>
      <c r="E1480" s="4">
        <v>14</v>
      </c>
      <c r="F1480" s="4">
        <v>344.72</v>
      </c>
      <c r="G1480" s="9">
        <f>Table1[[#This Row],[Quantity]]*Table1[[#This Row],[Price]]</f>
        <v>4826.08</v>
      </c>
    </row>
    <row r="1481" spans="1:7" ht="21" customHeight="1" x14ac:dyDescent="0.3">
      <c r="A1481" s="1" t="s">
        <v>263</v>
      </c>
      <c r="B1481" s="1" t="str">
        <f>TEXT(Table1[[#This Row],[Date]], "YYYY-mm")</f>
        <v>2024-10</v>
      </c>
      <c r="C1481" s="2" t="s">
        <v>29</v>
      </c>
      <c r="D1481" s="2" t="s">
        <v>19</v>
      </c>
      <c r="E1481" s="2">
        <v>2</v>
      </c>
      <c r="F1481" s="2">
        <v>991.71</v>
      </c>
      <c r="G1481" s="8">
        <f>Table1[[#This Row],[Quantity]]*Table1[[#This Row],[Price]]</f>
        <v>1983.42</v>
      </c>
    </row>
    <row r="1482" spans="1:7" ht="21" customHeight="1" x14ac:dyDescent="0.3">
      <c r="A1482" s="3" t="s">
        <v>38</v>
      </c>
      <c r="B1482" s="3" t="str">
        <f>TEXT(Table1[[#This Row],[Date]], "YYYY-mm")</f>
        <v>2024-06</v>
      </c>
      <c r="C1482" s="4" t="s">
        <v>34</v>
      </c>
      <c r="D1482" s="4" t="s">
        <v>19</v>
      </c>
      <c r="E1482" s="4">
        <v>3</v>
      </c>
      <c r="F1482" s="4">
        <v>1113.47</v>
      </c>
      <c r="G1482" s="9">
        <f>Table1[[#This Row],[Quantity]]*Table1[[#This Row],[Price]]</f>
        <v>3340.41</v>
      </c>
    </row>
    <row r="1483" spans="1:7" ht="21" customHeight="1" x14ac:dyDescent="0.3">
      <c r="A1483" s="1" t="s">
        <v>204</v>
      </c>
      <c r="B1483" s="1" t="str">
        <f>TEXT(Table1[[#This Row],[Date]], "YYYY-mm")</f>
        <v>2024-01</v>
      </c>
      <c r="C1483" s="2" t="s">
        <v>7</v>
      </c>
      <c r="D1483" s="2" t="s">
        <v>8</v>
      </c>
      <c r="E1483" s="2">
        <v>5</v>
      </c>
      <c r="F1483" s="2">
        <v>22.7</v>
      </c>
      <c r="G1483" s="8">
        <f>Table1[[#This Row],[Quantity]]*Table1[[#This Row],[Price]]</f>
        <v>113.5</v>
      </c>
    </row>
    <row r="1484" spans="1:7" ht="21" customHeight="1" x14ac:dyDescent="0.3">
      <c r="A1484" s="3" t="s">
        <v>208</v>
      </c>
      <c r="B1484" s="3" t="str">
        <f>TEXT(Table1[[#This Row],[Date]], "YYYY-mm")</f>
        <v>2024-11</v>
      </c>
      <c r="C1484" s="4" t="s">
        <v>39</v>
      </c>
      <c r="D1484" s="4" t="s">
        <v>8</v>
      </c>
      <c r="E1484" s="4">
        <v>2</v>
      </c>
      <c r="F1484" s="4">
        <v>3.99</v>
      </c>
      <c r="G1484" s="9">
        <f>Table1[[#This Row],[Quantity]]*Table1[[#This Row],[Price]]</f>
        <v>7.98</v>
      </c>
    </row>
    <row r="1485" spans="1:7" ht="21" customHeight="1" x14ac:dyDescent="0.3">
      <c r="A1485" s="1" t="s">
        <v>287</v>
      </c>
      <c r="B1485" s="1" t="str">
        <f>TEXT(Table1[[#This Row],[Date]], "YYYY-mm")</f>
        <v>2024-07</v>
      </c>
      <c r="C1485" s="2" t="s">
        <v>44</v>
      </c>
      <c r="D1485" s="2" t="s">
        <v>8</v>
      </c>
      <c r="E1485" s="2">
        <v>13</v>
      </c>
      <c r="F1485" s="2">
        <v>5.53</v>
      </c>
      <c r="G1485" s="8">
        <f>Table1[[#This Row],[Quantity]]*Table1[[#This Row],[Price]]</f>
        <v>71.89</v>
      </c>
    </row>
    <row r="1486" spans="1:7" ht="21" customHeight="1" x14ac:dyDescent="0.3">
      <c r="A1486" s="3" t="s">
        <v>204</v>
      </c>
      <c r="B1486" s="3" t="str">
        <f>TEXT(Table1[[#This Row],[Date]], "YYYY-mm")</f>
        <v>2024-01</v>
      </c>
      <c r="C1486" s="4" t="s">
        <v>29</v>
      </c>
      <c r="D1486" s="4" t="s">
        <v>19</v>
      </c>
      <c r="E1486" s="4">
        <v>4</v>
      </c>
      <c r="F1486" s="4">
        <v>1127.8</v>
      </c>
      <c r="G1486" s="9">
        <f>Table1[[#This Row],[Quantity]]*Table1[[#This Row],[Price]]</f>
        <v>4511.2</v>
      </c>
    </row>
    <row r="1487" spans="1:7" ht="21" customHeight="1" x14ac:dyDescent="0.3">
      <c r="A1487" s="1" t="s">
        <v>47</v>
      </c>
      <c r="B1487" s="1" t="str">
        <f>TEXT(Table1[[#This Row],[Date]], "YYYY-mm")</f>
        <v>2024-09</v>
      </c>
      <c r="C1487" s="2" t="s">
        <v>44</v>
      </c>
      <c r="D1487" s="2" t="s">
        <v>8</v>
      </c>
      <c r="E1487" s="2">
        <v>6</v>
      </c>
      <c r="F1487" s="2">
        <v>16.21</v>
      </c>
      <c r="G1487" s="8">
        <f>Table1[[#This Row],[Quantity]]*Table1[[#This Row],[Price]]</f>
        <v>97.26</v>
      </c>
    </row>
    <row r="1488" spans="1:7" ht="21" customHeight="1" x14ac:dyDescent="0.3">
      <c r="A1488" s="3" t="s">
        <v>316</v>
      </c>
      <c r="B1488" s="3" t="str">
        <f>TEXT(Table1[[#This Row],[Date]], "YYYY-mm")</f>
        <v>2024-11</v>
      </c>
      <c r="C1488" s="4" t="s">
        <v>34</v>
      </c>
      <c r="D1488" s="4" t="s">
        <v>19</v>
      </c>
      <c r="E1488" s="4">
        <v>13</v>
      </c>
      <c r="F1488" s="4">
        <v>1265.72</v>
      </c>
      <c r="G1488" s="9">
        <f>Table1[[#This Row],[Quantity]]*Table1[[#This Row],[Price]]</f>
        <v>16454.36</v>
      </c>
    </row>
    <row r="1489" spans="1:7" ht="21" customHeight="1" x14ac:dyDescent="0.3">
      <c r="A1489" s="1" t="s">
        <v>202</v>
      </c>
      <c r="B1489" s="1" t="str">
        <f>TEXT(Table1[[#This Row],[Date]], "YYYY-mm")</f>
        <v>2024-09</v>
      </c>
      <c r="C1489" s="2" t="s">
        <v>25</v>
      </c>
      <c r="D1489" s="2" t="s">
        <v>19</v>
      </c>
      <c r="E1489" s="2">
        <v>10</v>
      </c>
      <c r="F1489" s="2">
        <v>1087.73</v>
      </c>
      <c r="G1489" s="8">
        <f>Table1[[#This Row],[Quantity]]*Table1[[#This Row],[Price]]</f>
        <v>10877.3</v>
      </c>
    </row>
    <row r="1490" spans="1:7" ht="21" customHeight="1" x14ac:dyDescent="0.3">
      <c r="A1490" s="3" t="s">
        <v>176</v>
      </c>
      <c r="B1490" s="3" t="str">
        <f>TEXT(Table1[[#This Row],[Date]], "YYYY-mm")</f>
        <v>2024-03</v>
      </c>
      <c r="C1490" s="4" t="s">
        <v>7</v>
      </c>
      <c r="D1490" s="4" t="s">
        <v>8</v>
      </c>
      <c r="E1490" s="4">
        <v>8</v>
      </c>
      <c r="F1490" s="4">
        <v>21.17</v>
      </c>
      <c r="G1490" s="9">
        <f>Table1[[#This Row],[Quantity]]*Table1[[#This Row],[Price]]</f>
        <v>169.36</v>
      </c>
    </row>
    <row r="1491" spans="1:7" ht="21" customHeight="1" x14ac:dyDescent="0.3">
      <c r="A1491" s="1" t="s">
        <v>190</v>
      </c>
      <c r="B1491" s="1" t="str">
        <f>TEXT(Table1[[#This Row],[Date]], "YYYY-mm")</f>
        <v>2024-01</v>
      </c>
      <c r="C1491" s="2" t="s">
        <v>39</v>
      </c>
      <c r="D1491" s="2" t="s">
        <v>8</v>
      </c>
      <c r="E1491" s="2">
        <v>13</v>
      </c>
      <c r="F1491" s="2">
        <v>6.99</v>
      </c>
      <c r="G1491" s="8">
        <f>Table1[[#This Row],[Quantity]]*Table1[[#This Row],[Price]]</f>
        <v>90.87</v>
      </c>
    </row>
    <row r="1492" spans="1:7" ht="21" customHeight="1" x14ac:dyDescent="0.3">
      <c r="A1492" s="3" t="s">
        <v>282</v>
      </c>
      <c r="B1492" s="3" t="str">
        <f>TEXT(Table1[[#This Row],[Date]], "YYYY-mm")</f>
        <v>2024-12</v>
      </c>
      <c r="C1492" s="4" t="s">
        <v>10</v>
      </c>
      <c r="D1492" s="4" t="s">
        <v>8</v>
      </c>
      <c r="E1492" s="4">
        <v>9</v>
      </c>
      <c r="F1492" s="4">
        <v>44.03</v>
      </c>
      <c r="G1492" s="9">
        <f>Table1[[#This Row],[Quantity]]*Table1[[#This Row],[Price]]</f>
        <v>396.27</v>
      </c>
    </row>
    <row r="1493" spans="1:7" ht="21" customHeight="1" x14ac:dyDescent="0.3">
      <c r="A1493" s="1" t="s">
        <v>259</v>
      </c>
      <c r="B1493" s="1" t="str">
        <f>TEXT(Table1[[#This Row],[Date]], "YYYY-mm")</f>
        <v>2024-01</v>
      </c>
      <c r="C1493" s="2" t="s">
        <v>10</v>
      </c>
      <c r="D1493" s="2" t="s">
        <v>8</v>
      </c>
      <c r="E1493" s="2">
        <v>1</v>
      </c>
      <c r="F1493" s="2">
        <v>105.06</v>
      </c>
      <c r="G1493" s="8">
        <f>Table1[[#This Row],[Quantity]]*Table1[[#This Row],[Price]]</f>
        <v>105.06</v>
      </c>
    </row>
    <row r="1494" spans="1:7" ht="21" customHeight="1" x14ac:dyDescent="0.3">
      <c r="A1494" s="3" t="s">
        <v>55</v>
      </c>
      <c r="B1494" s="3" t="str">
        <f>TEXT(Table1[[#This Row],[Date]], "YYYY-mm")</f>
        <v>2024-12</v>
      </c>
      <c r="C1494" s="4" t="s">
        <v>34</v>
      </c>
      <c r="D1494" s="4" t="s">
        <v>19</v>
      </c>
      <c r="E1494" s="4">
        <v>3</v>
      </c>
      <c r="F1494" s="4">
        <v>916.38</v>
      </c>
      <c r="G1494" s="9">
        <f>Table1[[#This Row],[Quantity]]*Table1[[#This Row],[Price]]</f>
        <v>2749.14</v>
      </c>
    </row>
    <row r="1495" spans="1:7" ht="21" customHeight="1" x14ac:dyDescent="0.3">
      <c r="A1495" s="1" t="s">
        <v>21</v>
      </c>
      <c r="B1495" s="1" t="str">
        <f>TEXT(Table1[[#This Row],[Date]], "YYYY-mm")</f>
        <v>2024-03</v>
      </c>
      <c r="C1495" s="2" t="s">
        <v>18</v>
      </c>
      <c r="D1495" s="2" t="s">
        <v>19</v>
      </c>
      <c r="E1495" s="2">
        <v>13</v>
      </c>
      <c r="F1495" s="2">
        <v>1112.18</v>
      </c>
      <c r="G1495" s="8">
        <f>Table1[[#This Row],[Quantity]]*Table1[[#This Row],[Price]]</f>
        <v>14458.34</v>
      </c>
    </row>
    <row r="1496" spans="1:7" ht="21" customHeight="1" x14ac:dyDescent="0.3">
      <c r="A1496" s="3" t="s">
        <v>203</v>
      </c>
      <c r="B1496" s="3" t="str">
        <f>TEXT(Table1[[#This Row],[Date]], "YYYY-mm")</f>
        <v>2024-03</v>
      </c>
      <c r="C1496" s="4" t="s">
        <v>39</v>
      </c>
      <c r="D1496" s="4" t="s">
        <v>8</v>
      </c>
      <c r="E1496" s="4">
        <v>6</v>
      </c>
      <c r="F1496" s="4">
        <v>5.7</v>
      </c>
      <c r="G1496" s="9">
        <f>Table1[[#This Row],[Quantity]]*Table1[[#This Row],[Price]]</f>
        <v>34.200000000000003</v>
      </c>
    </row>
    <row r="1497" spans="1:7" ht="21" customHeight="1" x14ac:dyDescent="0.3">
      <c r="A1497" s="1" t="s">
        <v>11</v>
      </c>
      <c r="B1497" s="1" t="str">
        <f>TEXT(Table1[[#This Row],[Date]], "YYYY-mm")</f>
        <v>2024-10</v>
      </c>
      <c r="C1497" s="2" t="s">
        <v>25</v>
      </c>
      <c r="D1497" s="2" t="s">
        <v>19</v>
      </c>
      <c r="E1497" s="2">
        <v>5</v>
      </c>
      <c r="F1497" s="2">
        <v>212.72</v>
      </c>
      <c r="G1497" s="8">
        <f>Table1[[#This Row],[Quantity]]*Table1[[#This Row],[Price]]</f>
        <v>1063.5999999999999</v>
      </c>
    </row>
    <row r="1498" spans="1:7" ht="21" customHeight="1" x14ac:dyDescent="0.3">
      <c r="A1498" s="3" t="s">
        <v>347</v>
      </c>
      <c r="B1498" s="3" t="str">
        <f>TEXT(Table1[[#This Row],[Date]], "YYYY-mm")</f>
        <v>2024-08</v>
      </c>
      <c r="C1498" s="4" t="s">
        <v>29</v>
      </c>
      <c r="D1498" s="4" t="s">
        <v>19</v>
      </c>
      <c r="E1498" s="4">
        <v>12</v>
      </c>
      <c r="F1498" s="4">
        <v>1190.68</v>
      </c>
      <c r="G1498" s="9">
        <f>Table1[[#This Row],[Quantity]]*Table1[[#This Row],[Price]]</f>
        <v>14288.16</v>
      </c>
    </row>
    <row r="1499" spans="1:7" ht="21" customHeight="1" x14ac:dyDescent="0.3">
      <c r="A1499" s="1" t="s">
        <v>285</v>
      </c>
      <c r="B1499" s="1" t="str">
        <f>TEXT(Table1[[#This Row],[Date]], "YYYY-mm")</f>
        <v>2024-07</v>
      </c>
      <c r="C1499" s="2" t="s">
        <v>39</v>
      </c>
      <c r="D1499" s="2" t="s">
        <v>8</v>
      </c>
      <c r="E1499" s="2">
        <v>8</v>
      </c>
      <c r="F1499" s="2">
        <v>5.88</v>
      </c>
      <c r="G1499" s="8">
        <f>Table1[[#This Row],[Quantity]]*Table1[[#This Row],[Price]]</f>
        <v>47.04</v>
      </c>
    </row>
    <row r="1500" spans="1:7" ht="21" customHeight="1" x14ac:dyDescent="0.3">
      <c r="A1500" s="3" t="s">
        <v>363</v>
      </c>
      <c r="B1500" s="3" t="str">
        <f>TEXT(Table1[[#This Row],[Date]], "YYYY-mm")</f>
        <v>2024-12</v>
      </c>
      <c r="C1500" s="4" t="s">
        <v>27</v>
      </c>
      <c r="D1500" s="4" t="s">
        <v>8</v>
      </c>
      <c r="E1500" s="4">
        <v>10</v>
      </c>
      <c r="F1500" s="4">
        <v>178.13</v>
      </c>
      <c r="G1500" s="9">
        <f>Table1[[#This Row],[Quantity]]*Table1[[#This Row],[Price]]</f>
        <v>1781.3</v>
      </c>
    </row>
    <row r="1501" spans="1:7" ht="21" customHeight="1" x14ac:dyDescent="0.3">
      <c r="A1501" s="1" t="s">
        <v>129</v>
      </c>
      <c r="B1501" s="1" t="str">
        <f>TEXT(Table1[[#This Row],[Date]], "YYYY-mm")</f>
        <v>2024-04</v>
      </c>
      <c r="C1501" s="2" t="s">
        <v>7</v>
      </c>
      <c r="D1501" s="2" t="s">
        <v>8</v>
      </c>
      <c r="E1501" s="2">
        <v>15</v>
      </c>
      <c r="F1501" s="2">
        <v>58.4</v>
      </c>
      <c r="G1501" s="8">
        <f>Table1[[#This Row],[Quantity]]*Table1[[#This Row],[Price]]</f>
        <v>876</v>
      </c>
    </row>
    <row r="1502" spans="1:7" ht="21" customHeight="1" x14ac:dyDescent="0.3">
      <c r="A1502" s="3" t="s">
        <v>220</v>
      </c>
      <c r="B1502" s="3" t="str">
        <f>TEXT(Table1[[#This Row],[Date]], "YYYY-mm")</f>
        <v>2024-10</v>
      </c>
      <c r="C1502" s="4" t="s">
        <v>39</v>
      </c>
      <c r="D1502" s="4" t="s">
        <v>8</v>
      </c>
      <c r="E1502" s="4">
        <v>5</v>
      </c>
      <c r="F1502" s="4">
        <v>7</v>
      </c>
      <c r="G1502" s="9">
        <f>Table1[[#This Row],[Quantity]]*Table1[[#This Row],[Price]]</f>
        <v>35</v>
      </c>
    </row>
  </sheetData>
  <mergeCells count="1">
    <mergeCell ref="A1:G1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430D-47E8-4B88-A7BE-C763BCFBDBC4}">
  <dimension ref="A2:B15"/>
  <sheetViews>
    <sheetView zoomScaleNormal="100" workbookViewId="0">
      <selection activeCell="B23" sqref="B23"/>
    </sheetView>
  </sheetViews>
  <sheetFormatPr defaultRowHeight="14.4" x14ac:dyDescent="0.3"/>
  <cols>
    <col min="1" max="1" width="12.5546875" bestFit="1" customWidth="1"/>
    <col min="2" max="2" width="17" bestFit="1" customWidth="1"/>
    <col min="3" max="6" width="13.21875" bestFit="1" customWidth="1"/>
    <col min="7" max="7" width="10.5546875" bestFit="1" customWidth="1"/>
    <col min="8" max="8" width="11.5546875" bestFit="1" customWidth="1"/>
    <col min="9" max="10" width="10.5546875" bestFit="1" customWidth="1"/>
    <col min="11" max="11" width="9.5546875" bestFit="1" customWidth="1"/>
    <col min="12" max="13" width="11.5546875" bestFit="1" customWidth="1"/>
    <col min="14" max="14" width="13.21875" bestFit="1" customWidth="1"/>
  </cols>
  <sheetData>
    <row r="2" spans="1:2" x14ac:dyDescent="0.3">
      <c r="A2" s="12" t="s">
        <v>386</v>
      </c>
      <c r="B2" t="s">
        <v>388</v>
      </c>
    </row>
    <row r="3" spans="1:2" x14ac:dyDescent="0.3">
      <c r="A3" s="13" t="s">
        <v>390</v>
      </c>
      <c r="B3" s="14">
        <v>540199.71000000008</v>
      </c>
    </row>
    <row r="4" spans="1:2" x14ac:dyDescent="0.3">
      <c r="A4" s="13" t="s">
        <v>391</v>
      </c>
      <c r="B4" s="14">
        <v>360112.13999999978</v>
      </c>
    </row>
    <row r="5" spans="1:2" x14ac:dyDescent="0.3">
      <c r="A5" s="13" t="s">
        <v>392</v>
      </c>
      <c r="B5" s="14">
        <v>594493.42999999982</v>
      </c>
    </row>
    <row r="6" spans="1:2" x14ac:dyDescent="0.3">
      <c r="A6" s="13" t="s">
        <v>393</v>
      </c>
      <c r="B6" s="14">
        <v>478303.78000000014</v>
      </c>
    </row>
    <row r="7" spans="1:2" x14ac:dyDescent="0.3">
      <c r="A7" s="13" t="s">
        <v>394</v>
      </c>
      <c r="B7" s="14">
        <v>387887.84999999986</v>
      </c>
    </row>
    <row r="8" spans="1:2" x14ac:dyDescent="0.3">
      <c r="A8" s="13" t="s">
        <v>395</v>
      </c>
      <c r="B8" s="14">
        <v>525983.08000000019</v>
      </c>
    </row>
    <row r="9" spans="1:2" x14ac:dyDescent="0.3">
      <c r="A9" s="13" t="s">
        <v>396</v>
      </c>
      <c r="B9" s="14">
        <v>557518.5700000003</v>
      </c>
    </row>
    <row r="10" spans="1:2" x14ac:dyDescent="0.3">
      <c r="A10" s="13" t="s">
        <v>397</v>
      </c>
      <c r="B10" s="14">
        <v>520277.15000000049</v>
      </c>
    </row>
    <row r="11" spans="1:2" x14ac:dyDescent="0.3">
      <c r="A11" s="13" t="s">
        <v>398</v>
      </c>
      <c r="B11" s="14">
        <v>561289.37000000011</v>
      </c>
    </row>
    <row r="12" spans="1:2" x14ac:dyDescent="0.3">
      <c r="A12" s="13" t="s">
        <v>399</v>
      </c>
      <c r="B12" s="14">
        <v>574694.70000000007</v>
      </c>
    </row>
    <row r="13" spans="1:2" x14ac:dyDescent="0.3">
      <c r="A13" s="13" t="s">
        <v>400</v>
      </c>
      <c r="B13" s="14">
        <v>583005.40999999992</v>
      </c>
    </row>
    <row r="14" spans="1:2" x14ac:dyDescent="0.3">
      <c r="A14" s="13" t="s">
        <v>401</v>
      </c>
      <c r="B14" s="14">
        <v>490686.72000000015</v>
      </c>
    </row>
    <row r="15" spans="1:2" x14ac:dyDescent="0.3">
      <c r="A15" s="13" t="s">
        <v>387</v>
      </c>
      <c r="B15" s="14">
        <v>6174451.9100000011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1BEA-3EFF-4DB6-87ED-EFEA33BF2F02}">
  <dimension ref="A3:B7"/>
  <sheetViews>
    <sheetView zoomScale="115" zoomScaleNormal="115" workbookViewId="0">
      <selection activeCell="P7" sqref="P7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12" t="s">
        <v>386</v>
      </c>
      <c r="B3" t="s">
        <v>388</v>
      </c>
    </row>
    <row r="4" spans="1:2" x14ac:dyDescent="0.3">
      <c r="A4" s="13" t="s">
        <v>22</v>
      </c>
      <c r="B4" s="14">
        <v>1387594.9200000006</v>
      </c>
    </row>
    <row r="5" spans="1:2" x14ac:dyDescent="0.3">
      <c r="A5" s="13" t="s">
        <v>34</v>
      </c>
      <c r="B5" s="14">
        <v>1069745.8400000003</v>
      </c>
    </row>
    <row r="6" spans="1:2" x14ac:dyDescent="0.3">
      <c r="A6" s="13" t="s">
        <v>29</v>
      </c>
      <c r="B6" s="14">
        <v>1542694.68</v>
      </c>
    </row>
    <row r="7" spans="1:2" x14ac:dyDescent="0.3">
      <c r="A7" s="13" t="s">
        <v>387</v>
      </c>
      <c r="B7" s="14">
        <v>4000035.4400000004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2775-72D7-42BC-9443-91CA3EA33977}">
  <dimension ref="A2:B6"/>
  <sheetViews>
    <sheetView zoomScale="115" zoomScaleNormal="115" workbookViewId="0">
      <selection activeCell="E20" sqref="E20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2" spans="1:2" x14ac:dyDescent="0.3">
      <c r="A2" s="12" t="s">
        <v>386</v>
      </c>
      <c r="B2" t="s">
        <v>388</v>
      </c>
    </row>
    <row r="3" spans="1:2" x14ac:dyDescent="0.3">
      <c r="A3" s="13" t="s">
        <v>13</v>
      </c>
      <c r="B3" s="14">
        <v>1806989.8000000007</v>
      </c>
    </row>
    <row r="4" spans="1:2" x14ac:dyDescent="0.3">
      <c r="A4" s="13" t="s">
        <v>19</v>
      </c>
      <c r="B4" s="14">
        <v>4045673.3899999964</v>
      </c>
    </row>
    <row r="5" spans="1:2" x14ac:dyDescent="0.3">
      <c r="A5" s="13" t="s">
        <v>8</v>
      </c>
      <c r="B5" s="14">
        <v>321788.71999999974</v>
      </c>
    </row>
    <row r="6" spans="1:2" x14ac:dyDescent="0.3">
      <c r="A6" s="13" t="s">
        <v>387</v>
      </c>
      <c r="B6" s="14">
        <v>6174451.9099999974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MONTHLY SALES TREND</vt:lpstr>
      <vt:lpstr>TOP 3 PRODUCTS SALES</vt:lpstr>
      <vt:lpstr>CATEGORY WISE TOTAL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ayusharora.2225@gmail.com</cp:lastModifiedBy>
  <dcterms:created xsi:type="dcterms:W3CDTF">2026-03-19T15:52:29Z</dcterms:created>
  <dcterms:modified xsi:type="dcterms:W3CDTF">2026-03-22T05:13:11Z</dcterms:modified>
</cp:coreProperties>
</file>